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vsht\Downloads\"/>
    </mc:Choice>
  </mc:AlternateContent>
  <xr:revisionPtr revIDLastSave="0" documentId="13_ncr:1_{47CB58DC-360D-4EAA-B58F-CAECCEE1866B}" xr6:coauthVersionLast="47" xr6:coauthVersionMax="47" xr10:uidLastSave="{00000000-0000-0000-0000-000000000000}"/>
  <bookViews>
    <workbookView xWindow="-108" yWindow="-108" windowWidth="23256" windowHeight="12456" tabRatio="500" xr2:uid="{00000000-000D-0000-FFFF-FFFF00000000}"/>
  </bookViews>
  <sheets>
    <sheet name="Register Map" sheetId="1" r:id="rId1"/>
    <sheet name="Derived Values" sheetId="2" r:id="rId2"/>
    <sheet name="Enums &amp; Flags" sheetId="3" r:id="rId3"/>
    <sheet name="Decoding Rules" sheetId="4" r:id="rId4"/>
    <sheet name="Fleet Reference" sheetId="5" r:id="rId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8" i="5" l="1"/>
  <c r="B8" i="5"/>
</calcChain>
</file>

<file path=xl/sharedStrings.xml><?xml version="1.0" encoding="utf-8"?>
<sst xmlns="http://schemas.openxmlformats.org/spreadsheetml/2006/main" count="568" uniqueCount="388">
  <si>
    <t>EVVO Inverter - Modbus Holding Register Map (HR 0-35)</t>
  </si>
  <si>
    <t>Function code 3, start address 0, count 36.  Derived and validated against 10,648 samples from inverters 1/2/3, 2026-08-01 09:46 IST to 2026-08-02 16:51 IST.</t>
  </si>
  <si>
    <t>Worked example column uses one real frame: inverter 3, 2026-08-02 05:38:28 UTC (11:08 IST), status Normal.</t>
  </si>
  <si>
    <t>Reg</t>
  </si>
  <si>
    <t>Group</t>
  </si>
  <si>
    <t>Field Name</t>
  </si>
  <si>
    <t>Code Key</t>
  </si>
  <si>
    <t>Formula</t>
  </si>
  <si>
    <t>Unit</t>
  </si>
  <si>
    <t>Type</t>
  </si>
  <si>
    <t>Raw Example</t>
  </si>
  <si>
    <t>Decoded Example</t>
  </si>
  <si>
    <t>Observed Min</t>
  </si>
  <si>
    <t>Observed Max</t>
  </si>
  <si>
    <t>Distinct</t>
  </si>
  <si>
    <t>Confidence</t>
  </si>
  <si>
    <t>Evidence</t>
  </si>
  <si>
    <t>Status</t>
  </si>
  <si>
    <t>Operating Status</t>
  </si>
  <si>
    <t>status</t>
  </si>
  <si>
    <t>lookup r0</t>
  </si>
  <si>
    <t>enum</t>
  </si>
  <si>
    <t>uint16</t>
  </si>
  <si>
    <t>Normal</t>
  </si>
  <si>
    <t>Proven</t>
  </si>
  <si>
    <t>0=Standby 1=Starting 2=Normal 3=Fault. All four states observed; transitions coherent.</t>
  </si>
  <si>
    <t>bitfield</t>
  </si>
  <si>
    <t>bits</t>
  </si>
  <si>
    <t>no faults</t>
  </si>
  <si>
    <t>Bit 1 (value 2) set on ALL THREE units simultaneously during the 2026-08-02 13:23 IST grid event. Bit 3 (value 8) on inv1 only, 100s later.</t>
  </si>
  <si>
    <t>Zero in all 10,648 samples.</t>
  </si>
  <si>
    <t>Bit 7 (value 128) on inv1 only, 5 samples at 06:08 IST while DC rose through 438-462 V. Zero elsewhere.</t>
  </si>
  <si>
    <t>DC input</t>
  </si>
  <si>
    <t>PV String 1 Voltage</t>
  </si>
  <si>
    <t>pv1_V</t>
  </si>
  <si>
    <t>r6 / 10</t>
  </si>
  <si>
    <t>V</t>
  </si>
  <si>
    <t>576.1 V</t>
  </si>
  <si>
    <t>r6 x r7 = r10 x 10 to 0.03% median across 6,724 samples above 20% load.</t>
  </si>
  <si>
    <t>PV String 1 Current</t>
  </si>
  <si>
    <t>pv1_A</t>
  </si>
  <si>
    <t>r7 / 100</t>
  </si>
  <si>
    <t>A</t>
  </si>
  <si>
    <t>19.33 A</t>
  </si>
  <si>
    <t>Same identity as r6.</t>
  </si>
  <si>
    <t>PV String 2 Voltage</t>
  </si>
  <si>
    <t>pv2_V</t>
  </si>
  <si>
    <t>r8 / 10</t>
  </si>
  <si>
    <t>639.1 V</t>
  </si>
  <si>
    <t>r8 x r9 = r11 x 10 to 0.04% median.</t>
  </si>
  <si>
    <t>PV String 2 Current</t>
  </si>
  <si>
    <t>pv2_A</t>
  </si>
  <si>
    <t>r9 / 100</t>
  </si>
  <si>
    <t>7.19 A</t>
  </si>
  <si>
    <t>Same identity as r8.</t>
  </si>
  <si>
    <t>PV String 1 Power</t>
  </si>
  <si>
    <t>pv1_power_W</t>
  </si>
  <si>
    <t>r10 x 10</t>
  </si>
  <si>
    <t>W</t>
  </si>
  <si>
    <t>11,140 W</t>
  </si>
  <si>
    <t>Matches V x I on 6,724 samples. 10 W granularity.</t>
  </si>
  <si>
    <t>PV String 2 Power</t>
  </si>
  <si>
    <t>pv2_power_W</t>
  </si>
  <si>
    <t>r11 x 10</t>
  </si>
  <si>
    <t>4,620 W</t>
  </si>
  <si>
    <t>Matches V x I. 10 W granularity.</t>
  </si>
  <si>
    <t>AC output</t>
  </si>
  <si>
    <t>AC Active Power</t>
  </si>
  <si>
    <t>ac_power_W</t>
  </si>
  <si>
    <t>r12 x 10</t>
  </si>
  <si>
    <t>15,300 W</t>
  </si>
  <si>
    <t>Yields 95.6-97.4% of DC input across all three units. 10 W granularity.</t>
  </si>
  <si>
    <t>AC Reactive Power</t>
  </si>
  <si>
    <t>reactive_power_var</t>
  </si>
  <si>
    <t>s16(r13) x 10</t>
  </si>
  <si>
    <t>var</t>
  </si>
  <si>
    <t>INT16</t>
  </si>
  <si>
    <t>+110 var</t>
  </si>
  <si>
    <t>SIGNED. Negative in 285+ samples; min observed -630 var. Without s16() a reading of 65534 decodes as 655,340 instead of -20.</t>
  </si>
  <si>
    <t>Grid Frequency</t>
  </si>
  <si>
    <t>grid_freq_Hz</t>
  </si>
  <si>
    <t>r14 / 100</t>
  </si>
  <si>
    <t>Hz</t>
  </si>
  <si>
    <t>50.04 Hz</t>
  </si>
  <si>
    <t>Median 50.01 Hz on all three. Only 12 out-of-band samples, all inside the 13:14 grid event.</t>
  </si>
  <si>
    <t>Phase R Voltage</t>
  </si>
  <si>
    <t>ac_R_V</t>
  </si>
  <si>
    <t>r15 / 10</t>
  </si>
  <si>
    <t>243.5 V</t>
  </si>
  <si>
    <t>228.2-258.2 V observed. Exceeded 253 V in 690 samples during peak export.</t>
  </si>
  <si>
    <t>Phase R Current</t>
  </si>
  <si>
    <t>ac_R_A</t>
  </si>
  <si>
    <t>r16 / 100</t>
  </si>
  <si>
    <t>21.04 A</t>
  </si>
  <si>
    <t>Sum of V x I approximates r12.</t>
  </si>
  <si>
    <t>Phase Y Voltage</t>
  </si>
  <si>
    <t>ac_Y_V</t>
  </si>
  <si>
    <t>r17 / 10</t>
  </si>
  <si>
    <t>242.2 V</t>
  </si>
  <si>
    <t>Same behaviour as phase R.</t>
  </si>
  <si>
    <t>Phase Y Current</t>
  </si>
  <si>
    <t>ac_Y_A</t>
  </si>
  <si>
    <t>r18 / 100</t>
  </si>
  <si>
    <t>20.98 A</t>
  </si>
  <si>
    <t>Phase B Voltage</t>
  </si>
  <si>
    <t>ac_B_V</t>
  </si>
  <si>
    <t>r19 / 10</t>
  </si>
  <si>
    <t>242.5 V</t>
  </si>
  <si>
    <t>Phase B Current</t>
  </si>
  <si>
    <t>ac_B_A</t>
  </si>
  <si>
    <t>r20 / 100</t>
  </si>
  <si>
    <t>20.97 A</t>
  </si>
  <si>
    <t>Energy</t>
  </si>
  <si>
    <t>Total Energy (high word)</t>
  </si>
  <si>
    <t>total_energy_hi</t>
  </si>
  <si>
    <t>(r21 &lt;&lt; 16)</t>
  </si>
  <si>
    <t>-</t>
  </si>
  <si>
    <t>65,536</t>
  </si>
  <si>
    <t>0 on inv1 (never rolled over), 1 on inv2 and inv3. MUST be combined with r22.</t>
  </si>
  <si>
    <t>Total Energy (low word)</t>
  </si>
  <si>
    <t>total_energy_lo</t>
  </si>
  <si>
    <t>| r22</t>
  </si>
  <si>
    <t>9,340</t>
  </si>
  <si>
    <t>Monotonic. Steps by EXACTLY 1 kWh - never derive intra-day deltas from it.</t>
  </si>
  <si>
    <t>Total Runtime (high word)</t>
  </si>
  <si>
    <t>total_runtime_hi</t>
  </si>
  <si>
    <t>(r23 &lt;&lt; 16)</t>
  </si>
  <si>
    <t>0</t>
  </si>
  <si>
    <t>Zero on all three units - none has passed 65,535 hours yet.</t>
  </si>
  <si>
    <t>Total Runtime (low word)</t>
  </si>
  <si>
    <t>total_runtime_lo</t>
  </si>
  <si>
    <t>| r24</t>
  </si>
  <si>
    <t>13,361</t>
  </si>
  <si>
    <t>Monotonic, advances about 1 per operating hour.</t>
  </si>
  <si>
    <t>Today Energy</t>
  </si>
  <si>
    <t>today_energy_kWh</t>
  </si>
  <si>
    <t>r25 / 100</t>
  </si>
  <si>
    <t>kWh</t>
  </si>
  <si>
    <t>30.39 kWh</t>
  </si>
  <si>
    <t>Monotonic within a day, resets to 0 at midnight. 0.01 kWh resolution - use this, not r21:r22, for intra-day charts.</t>
  </si>
  <si>
    <t>Today Grid-Connected Minutes</t>
  </si>
  <si>
    <t>today_grid_minutes</t>
  </si>
  <si>
    <t>r26</t>
  </si>
  <si>
    <t>min</t>
  </si>
  <si>
    <t>311 min</t>
  </si>
  <si>
    <t>NOT producing minutes - observed incrementing for 87 samples at zero AC power. Resets just before first startup, and appears to lose a few minutes across a power cycle (776 -&gt; 768 overnight).</t>
  </si>
  <si>
    <t>Thermal</t>
  </si>
  <si>
    <t>Heatsink Temperature</t>
  </si>
  <si>
    <t>heatsink_temp_C</t>
  </si>
  <si>
    <t>r27</t>
  </si>
  <si>
    <t>degC</t>
  </si>
  <si>
    <t>55 degC</t>
  </si>
  <si>
    <t>Fast, load-driven: correlation with power +0.87 mean. Max 70 degC on inv3.</t>
  </si>
  <si>
    <t>Internal Temperature</t>
  </si>
  <si>
    <t>internal_temp_C</t>
  </si>
  <si>
    <t>r28</t>
  </si>
  <si>
    <t>53 degC</t>
  </si>
  <si>
    <t>Slower, high thermal mass: correlation +0.54 mean. Normally hotter than r27, except on inv3 where r27 overtakes it 25% of the time.</t>
  </si>
  <si>
    <t>DC Bus Voltage</t>
  </si>
  <si>
    <t>dc_bus_V</t>
  </si>
  <si>
    <t>r29 / 10</t>
  </si>
  <si>
    <t>659.0 V</t>
  </si>
  <si>
    <t>Boost-stage output, sits above the highest string voltage. Only 24 samples read marginally below, all by 0.5-1.4 V (rounding).</t>
  </si>
  <si>
    <t>Diagnostic</t>
  </si>
  <si>
    <t>PV String 1 Voltage (filtered)</t>
  </si>
  <si>
    <t>pv1_V_filtered</t>
  </si>
  <si>
    <t>r30 / 10</t>
  </si>
  <si>
    <t>574.3 V</t>
  </si>
  <si>
    <t>High</t>
  </si>
  <si>
    <t>Tracks r6, median delta 1.2 V. Purpose is diagnostic; prefer r6.</t>
  </si>
  <si>
    <t>PV String 2 Voltage (filtered)</t>
  </si>
  <si>
    <t>pv2_V_filtered</t>
  </si>
  <si>
    <t>r31 / 10</t>
  </si>
  <si>
    <t>637.2 V</t>
  </si>
  <si>
    <t>Tracks r8, median delta 1.3 V. Purpose is diagnostic; prefer r8.</t>
  </si>
  <si>
    <t>Grid Connect Countdown</t>
  </si>
  <si>
    <t>grid_connect_countdown_s</t>
  </si>
  <si>
    <t>r32</t>
  </si>
  <si>
    <t>s</t>
  </si>
  <si>
    <t>60 = connected</t>
  </si>
  <si>
    <t>NOT a constant. Counts DOWN in seconds while synchronising, pins at 60 once connected. r32=60 in all 10,539 Normal samples; 0-59 observed only when not Normal.</t>
  </si>
  <si>
    <t>Reserved</t>
  </si>
  <si>
    <t>Value 1 in all 10,648 samples.</t>
  </si>
  <si>
    <t>flag_r35</t>
  </si>
  <si>
    <t>r35</t>
  </si>
  <si>
    <t>Low</t>
  </si>
  <si>
    <t>64 on inv1 always, 0 on inv2 always, 0 on inv3 except one sample. Possibly a model or configuration marker. UNRESOLVED.</t>
  </si>
  <si>
    <t>Confidence key</t>
  </si>
  <si>
    <t>Identity or behaviour tested across the whole 10,648-sample corpus.</t>
  </si>
  <si>
    <t>Strong statistical support, no contradicting samples.</t>
  </si>
  <si>
    <t>Insufficient evidence. Stated as unresolved rather than guessed.</t>
  </si>
  <si>
    <t>Derived Values - computed from registers, not stored in any</t>
  </si>
  <si>
    <t>Worked examples use the same inverter 3 frame as the Register Map sheet.</t>
  </si>
  <si>
    <t>ID</t>
  </si>
  <si>
    <t>Value</t>
  </si>
  <si>
    <t>Worked Example</t>
  </si>
  <si>
    <t>Notes</t>
  </si>
  <si>
    <t>D1</t>
  </si>
  <si>
    <t>DC Input Power</t>
  </si>
  <si>
    <t>(r10 + r11) x 10</t>
  </si>
  <si>
    <t>(1114 + 462) x 10 = 15,760 W</t>
  </si>
  <si>
    <t>Denominator for efficiency; the 'in' side of the conversion chain.</t>
  </si>
  <si>
    <t>D2</t>
  </si>
  <si>
    <t>AC Output Power</t>
  </si>
  <si>
    <t>1530 x 10 = 15,300 W</t>
  </si>
  <si>
    <t>Headline generation figure.</t>
  </si>
  <si>
    <t>D3</t>
  </si>
  <si>
    <t>Conversion Efficiency</t>
  </si>
  <si>
    <t>100 x D2 / D1</t>
  </si>
  <si>
    <t>%</t>
  </si>
  <si>
    <t>100 x 15300 / 15760 = 97.08%</t>
  </si>
  <si>
    <t>Best single health indicator. ONLY valid above 20% of rated load - see Rules sheet.</t>
  </si>
  <si>
    <t>D4</t>
  </si>
  <si>
    <t>Apparent Power</t>
  </si>
  <si>
    <t>SQRT(P^2 + Q^2), P=D2, Q=s16(r13)x10</t>
  </si>
  <si>
    <t>VA</t>
  </si>
  <si>
    <t>SQRT(15300^2 + 110^2) = 15,300.4 VA</t>
  </si>
  <si>
    <t>Use THIS, not the sum of phase V x I - see Rules sheet.</t>
  </si>
  <si>
    <t>D5</t>
  </si>
  <si>
    <t>Power Factor</t>
  </si>
  <si>
    <t>D2 / D4</t>
  </si>
  <si>
    <t>15300 / 15300.4 = 0.99997</t>
  </si>
  <si>
    <t>Sum of V x I gives PF above 1 in up to 14% of samples, which is impossible.</t>
  </si>
  <si>
    <t>D6</t>
  </si>
  <si>
    <t>Plant Total Power</t>
  </si>
  <si>
    <t>SUM(D2) over all inverters</t>
  </si>
  <si>
    <t>Top-line dashboard figure.</t>
  </si>
  <si>
    <t>D7</t>
  </si>
  <si>
    <t>Voltage Imbalance</t>
  </si>
  <si>
    <t>(MAX-MIN)/MEAN x 100 on r15, r17, r19</t>
  </si>
  <si>
    <t>(243.5-242.2)/242.73 x 100 = 0.54%</t>
  </si>
  <si>
    <t>Above 2% indicates a grid or connection problem. Observed 0.5-1.0% median.</t>
  </si>
  <si>
    <t>D8</t>
  </si>
  <si>
    <t>Current Imbalance</t>
  </si>
  <si>
    <t>(MAX-MIN)/MEAN x 100 on r16, r18, r20</t>
  </si>
  <si>
    <t>(21.04-20.97)/21.00 x 100 = 0.33%</t>
  </si>
  <si>
    <t>Looser tolerance than voltage; watch the trend rather than the absolute.</t>
  </si>
  <si>
    <t>D9</t>
  </si>
  <si>
    <t>Total Energy</t>
  </si>
  <si>
    <t>(r21 x 65536) + r22</t>
  </si>
  <si>
    <t>(1 x 65536) + 9340 = 74,876 kWh</t>
  </si>
  <si>
    <t>Lifetime yield. MUST combine both words or inv2/inv3 read 65,536 kWh low.</t>
  </si>
  <si>
    <t>D10</t>
  </si>
  <si>
    <t>Total Runtime</t>
  </si>
  <si>
    <t>(r23 x 65536) + r24</t>
  </si>
  <si>
    <t>h</t>
  </si>
  <si>
    <t>(0 x 65536) + 13361 = 13,361 h</t>
  </si>
  <si>
    <t>Fleet age; useful for warranty and service intervals.</t>
  </si>
  <si>
    <t>D11</t>
  </si>
  <si>
    <t>3039 / 100 = 30.39 kWh</t>
  </si>
  <si>
    <t>Daily yield. Use for all intra-day charts.</t>
  </si>
  <si>
    <t>D12</t>
  </si>
  <si>
    <t>Today Grid Minutes</t>
  </si>
  <si>
    <t>r26 (guarded)</t>
  </si>
  <si>
    <t>311 = 5h 11m</t>
  </si>
  <si>
    <t>Return null unless D11 &gt; 0 or status is Starting/Normal - see Rules sheet.</t>
  </si>
  <si>
    <t>D13</t>
  </si>
  <si>
    <t>String 1 Power Check</t>
  </si>
  <si>
    <t>(r6/10) x (r7/100)  vs  r10 x 10</t>
  </si>
  <si>
    <t>576.1 x 19.33 = 11,136 vs 11,140 (0.04% apart)</t>
  </si>
  <si>
    <t>Detects a failed current or voltage sensor. Inverter 1 fails this badly.</t>
  </si>
  <si>
    <t>D14</t>
  </si>
  <si>
    <t>String 2 Power Check</t>
  </si>
  <si>
    <t>(r8/10) x (r9/100)  vs  r11 x 10</t>
  </si>
  <si>
    <t>639.1 x 7.19 = 4,595 vs 4,620 (0.54% apart)</t>
  </si>
  <si>
    <t>As D13.</t>
  </si>
  <si>
    <t>D15</t>
  </si>
  <si>
    <t>DC Bus Headroom</t>
  </si>
  <si>
    <t>r29/10 - MAX(r6, r8)/10</t>
  </si>
  <si>
    <t>659.0 - 639.1 = +19.9 V</t>
  </si>
  <si>
    <t>Boost-stage sanity. Negative by more than 2 V while Normal is a fault signal.</t>
  </si>
  <si>
    <t>D16</t>
  </si>
  <si>
    <t>Load Factor</t>
  </si>
  <si>
    <t>100 x D2 / rated_AC</t>
  </si>
  <si>
    <t>100 x 15300 / 27140 = 56.4%</t>
  </si>
  <si>
    <t>Needed to decide whether D3 is meaningful.</t>
  </si>
  <si>
    <t>D17</t>
  </si>
  <si>
    <t>Specific Yield</t>
  </si>
  <si>
    <t>D11 / rated_kW</t>
  </si>
  <si>
    <t>kWh/kW</t>
  </si>
  <si>
    <t>30.39 / 27.1 = 1.121</t>
  </si>
  <si>
    <t>The ONLY fair way to compare differently-sized inverters.</t>
  </si>
  <si>
    <t>D18</t>
  </si>
  <si>
    <t>Performance Ratio</t>
  </si>
  <si>
    <t>D17 / peak_sun_hours</t>
  </si>
  <si>
    <t>NOT COMPUTABLE</t>
  </si>
  <si>
    <t>Requires plane-of-array irradiance from a pyranometer. Not in the register block.</t>
  </si>
  <si>
    <t>D19</t>
  </si>
  <si>
    <t>Plant Today</t>
  </si>
  <si>
    <t>SUM(D11)</t>
  </si>
  <si>
    <t>Daily site total.</t>
  </si>
  <si>
    <t>D20</t>
  </si>
  <si>
    <t>Plant Lifetime</t>
  </si>
  <si>
    <t>SUM(D9)</t>
  </si>
  <si>
    <t>Site total.</t>
  </si>
  <si>
    <t>Status Codes, Fault Bits and Constants</t>
  </si>
  <si>
    <t>Register 0 - Operating Status</t>
  </si>
  <si>
    <t>Name</t>
  </si>
  <si>
    <t>Meaning</t>
  </si>
  <si>
    <t>Samples observed</t>
  </si>
  <si>
    <t>Standby</t>
  </si>
  <si>
    <t>Not connected to grid. r32 counts down while waiting to synchronise.</t>
  </si>
  <si>
    <t>Starting</t>
  </si>
  <si>
    <t>Synchronising. Brief and rarely captured.</t>
  </si>
  <si>
    <t>Grid-connected and exporting. r32 pins at 60.</t>
  </si>
  <si>
    <t>Fault</t>
  </si>
  <si>
    <t>Protection has operated. Check fault words r1-r5.</t>
  </si>
  <si>
    <t>Fault Bits Observed</t>
  </si>
  <si>
    <t>EVVO does not publish a fault code table. These are the bits actually seen in the corpus, described by the context in which they appeared - NOT the manufacturer's definitions. Request the official table from EVVO quoting these values.</t>
  </si>
  <si>
    <t>Register</t>
  </si>
  <si>
    <t>Bit</t>
  </si>
  <si>
    <t>Units affected</t>
  </si>
  <si>
    <t>Context observed</t>
  </si>
  <si>
    <t>r1</t>
  </si>
  <si>
    <t>ALL THREE, same second</t>
  </si>
  <si>
    <t>2026-08-02 13:23:02 IST, during the plant-wide grid trip. Frequency was 50.5 Hz and output had been zero for 9 minutes.</t>
  </si>
  <si>
    <t>Inverter 1 only</t>
  </si>
  <si>
    <t>2026-08-02 13:24:45 IST, 100 seconds after the above.</t>
  </si>
  <si>
    <t>r4</t>
  </si>
  <si>
    <t>2026-08-02 06:08 IST, 5 consecutive samples at startup while DC voltage rose through 438-462 V. Self-cleared within 2 minutes.</t>
  </si>
  <si>
    <t>Signed Conversion - required for r13 ONLY</t>
  </si>
  <si>
    <t>s16(v) = v - 65536 if v &gt;= 32768 else v</t>
  </si>
  <si>
    <t>Without this, a raw reading of 65534 decodes as 655,340 var instead of -20 var. 285 samples in the corpus are negative.</t>
  </si>
  <si>
    <t>Constants observed across all 10,648 samples</t>
  </si>
  <si>
    <t>Note</t>
  </si>
  <si>
    <t>r2, r3, r5</t>
  </si>
  <si>
    <t>Fault words, never set in this corpus</t>
  </si>
  <si>
    <t>r23</t>
  </si>
  <si>
    <t>Total runtime high word - no unit past 65,535 hours</t>
  </si>
  <si>
    <t>r33</t>
  </si>
  <si>
    <t>r34</t>
  </si>
  <si>
    <t>1</t>
  </si>
  <si>
    <t>r32 when status=2</t>
  </si>
  <si>
    <t>60</t>
  </si>
  <si>
    <t>Grid connect countdown, pinned when connected</t>
  </si>
  <si>
    <t>Five Rules That Prevent Wrong Numbers</t>
  </si>
  <si>
    <t>Each was established by testing against the corpus. Ignoring any one produces plausible but incorrect output.</t>
  </si>
  <si>
    <t>#</t>
  </si>
  <si>
    <t>Rule</t>
  </si>
  <si>
    <t>Why</t>
  </si>
  <si>
    <t>Apparent power: use SQRT(P^2 + Q^2), never the sum of phase V x I</t>
  </si>
  <si>
    <t>Summing phase V x I produced power factor ABOVE 1.0 - physically impossible - in 677 of 6,724 samples (7.3% to 14.2% depending on unit), peaking at PF 1.77. The SQRT(P^2+Q^2) method from r12 and r13 produced zero impossible values. The V x I method compounds rounding error from six registers at once.</t>
  </si>
  <si>
    <t>2</t>
  </si>
  <si>
    <t>Suppress efficiency below 20% of rated load</t>
  </si>
  <si>
    <t>r10, r11 and r12 all have 10 W granularity. At 900 W total that is over 1% per count and efficiency routinely computes above 100%. ALL THREE units do this at dawn and dusk and none of it means anything. An earlier analysis wrongly flagged inverter 2 as having a sensor fault on this basis.</t>
  </si>
  <si>
    <t>3</t>
  </si>
  <si>
    <t>r32 is a countdown timer, not a constant</t>
  </si>
  <si>
    <t>It counts DOWN in seconds while the inverter waits to synchronise, then pins at 60 once connected. Observed sequence: 54, 41, 29, 18, 2, then status flips to Normal and r32 = 60. Use it to show 'reconnecting in N seconds' rather than an unexplained idle inverter.</t>
  </si>
  <si>
    <t>4</t>
  </si>
  <si>
    <t>r26 is grid-connected minutes, and resets awkwardly</t>
  </si>
  <si>
    <t>It increments while AC power is zero - observed for 87 samples at dusk. It resets just before the first startup, not at midnight, so between midnight and sunrise it still holds yesterday's figure. It also appears to lose a few minutes across a power cycle (776 -&gt; 768 overnight), so treat it as accurate to about +/- 10 minutes at day boundaries.</t>
  </si>
  <si>
    <t>5</t>
  </si>
  <si>
    <t>Total energy has 1 kWh granularity - use r25 for anything finer</t>
  </si>
  <si>
    <t>Observed advancing in 32 consecutive steps of exactly +1 kWh. At 27 kW one count is about two minutes of production, so a 15-minute chart built from total-energy deltas shows ragged 0/1/2 steps. Use r25 (0.01 kWh) within a day and r21:r22 only for lifetime figures.</t>
  </si>
  <si>
    <t>6</t>
  </si>
  <si>
    <t>Validate grid parameters ONLY when status = Normal</t>
  </si>
  <si>
    <t>Frequency, phase voltage and imbalance are meaningless when the inverter is not synchronised. Filtering this way removed every apparent frequency anomaly except the 12 samples belonging to the real grid event.</t>
  </si>
  <si>
    <t>Fleet Reference - observed peaks and ratings</t>
  </si>
  <si>
    <t>Ratings are PEAK OBSERVED values across 10,648 samples, i.e. LOWER BOUNDS - not nameplate figures. Replace the yellow cells with nameplate values.</t>
  </si>
  <si>
    <t>Inverter</t>
  </si>
  <si>
    <t>Rated AC (kW)</t>
  </si>
  <si>
    <t>Rated DC (kW)</t>
  </si>
  <si>
    <t>Peak AC seen (kW)</t>
  </si>
  <si>
    <t>Peak DC seen (kW)</t>
  </si>
  <si>
    <t>Max Heatsink (degC)</t>
  </si>
  <si>
    <t>Lifetime (kWh)</t>
  </si>
  <si>
    <t>Runtime (h)</t>
  </si>
  <si>
    <t>Inverter 1</t>
  </si>
  <si>
    <t>Inverter 2</t>
  </si>
  <si>
    <t>Inverter 3</t>
  </si>
  <si>
    <t>TOTAL</t>
  </si>
  <si>
    <t>Legend</t>
  </si>
  <si>
    <t>Yellow fill, blue text = replace with nameplate values from the physical units.</t>
  </si>
  <si>
    <t>Several derived metrics depend on these: the efficiency validity threshold (Rule 2), load factor (D16) and specific yield (D17).</t>
  </si>
  <si>
    <t>Unkown</t>
  </si>
  <si>
    <t>Unkown1(Grid)</t>
  </si>
  <si>
    <t>Unkown2</t>
  </si>
  <si>
    <t>Unkown3</t>
  </si>
  <si>
    <t>unkown4(Startup/DC)</t>
  </si>
  <si>
    <t>unkown5</t>
  </si>
  <si>
    <t>unkown_4</t>
  </si>
  <si>
    <t>unkown_5</t>
  </si>
  <si>
    <t>column_2</t>
  </si>
  <si>
    <t>column_3</t>
  </si>
  <si>
    <t>unkown_6</t>
  </si>
  <si>
    <t>column_7</t>
  </si>
  <si>
    <t>column_8</t>
  </si>
  <si>
    <t>Flags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</si>
</sst>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F3864"/>
      <name val="Arial"/>
      <charset val="1"/>
    </font>
    <font>
      <i/>
      <sz val="9"/>
      <color rgb="FF595959"/>
      <name val="Arial"/>
      <charset val="1"/>
    </font>
    <font>
      <b/>
      <sz val="10"/>
      <color rgb="FFFFFFFF"/>
      <name val="Arial"/>
      <charset val="1"/>
    </font>
    <font>
      <b/>
      <sz val="10"/>
      <name val="Arial"/>
      <charset val="1"/>
    </font>
    <font>
      <sz val="10"/>
      <name val="Arial"/>
      <charset val="1"/>
    </font>
    <font>
      <sz val="9"/>
      <name val="Consolas"/>
      <charset val="1"/>
    </font>
    <font>
      <sz val="10"/>
      <color rgb="FF0000FF"/>
      <name val="Arial"/>
      <charset val="1"/>
    </font>
  </fonts>
  <fills count="11">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
      <patternFill patternType="solid">
        <fgColor rgb="FFFCE4D6"/>
        <bgColor rgb="FFFBE5D6"/>
      </patternFill>
    </fill>
    <fill>
      <patternFill patternType="solid">
        <fgColor rgb="FFE4DFEC"/>
        <bgColor rgb="FFDDEBF7"/>
      </patternFill>
    </fill>
    <fill>
      <patternFill patternType="solid">
        <fgColor rgb="FFFFF2CC"/>
        <bgColor rgb="FFFBE5D6"/>
      </patternFill>
    </fill>
    <fill>
      <patternFill patternType="solid">
        <fgColor rgb="FFFBE5D6"/>
        <bgColor rgb="FFFCE4D6"/>
      </patternFill>
    </fill>
    <fill>
      <patternFill patternType="solid">
        <fgColor rgb="FFF2F2F2"/>
        <bgColor rgb="FFE2EFDA"/>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xf>
    <xf numFmtId="0" fontId="5" fillId="3" borderId="1" xfId="0" applyFont="1" applyFill="1" applyBorder="1" applyAlignment="1">
      <alignment vertical="top"/>
    </xf>
    <xf numFmtId="0" fontId="4" fillId="0" borderId="1" xfId="0" applyFont="1" applyBorder="1" applyAlignment="1">
      <alignment vertical="top"/>
    </xf>
    <xf numFmtId="0" fontId="6" fillId="0" borderId="1" xfId="0" applyFont="1" applyBorder="1" applyAlignment="1">
      <alignment vertical="top"/>
    </xf>
    <xf numFmtId="0" fontId="5" fillId="0" borderId="1" xfId="0" applyFont="1" applyBorder="1" applyAlignment="1">
      <alignment vertical="top"/>
    </xf>
    <xf numFmtId="3" fontId="5" fillId="0" borderId="1" xfId="0" applyNumberFormat="1" applyFont="1" applyBorder="1" applyAlignment="1">
      <alignment horizontal="right" vertical="top"/>
    </xf>
    <xf numFmtId="0" fontId="5" fillId="4" borderId="1" xfId="0" applyFont="1" applyFill="1" applyBorder="1" applyAlignment="1">
      <alignment horizontal="center" vertical="top"/>
    </xf>
    <xf numFmtId="0" fontId="5" fillId="0" borderId="1" xfId="0" applyFont="1" applyBorder="1" applyAlignment="1">
      <alignment vertical="top" wrapText="1"/>
    </xf>
    <xf numFmtId="0" fontId="5" fillId="5" borderId="1" xfId="0" applyFont="1" applyFill="1" applyBorder="1" applyAlignment="1">
      <alignment vertical="top"/>
    </xf>
    <xf numFmtId="0" fontId="5" fillId="6" borderId="1" xfId="0" applyFont="1" applyFill="1" applyBorder="1" applyAlignment="1">
      <alignment vertical="top"/>
    </xf>
    <xf numFmtId="0" fontId="5" fillId="4" borderId="1" xfId="0" applyFont="1" applyFill="1" applyBorder="1" applyAlignment="1">
      <alignment vertical="top"/>
    </xf>
    <xf numFmtId="0" fontId="5" fillId="7" borderId="1" xfId="0" applyFont="1" applyFill="1" applyBorder="1" applyAlignment="1">
      <alignment vertical="top"/>
    </xf>
    <xf numFmtId="0" fontId="5" fillId="8" borderId="1" xfId="0" applyFont="1" applyFill="1" applyBorder="1" applyAlignment="1">
      <alignment vertical="top"/>
    </xf>
    <xf numFmtId="0" fontId="5" fillId="9" borderId="1" xfId="0" applyFont="1" applyFill="1" applyBorder="1" applyAlignment="1">
      <alignment vertical="top"/>
    </xf>
    <xf numFmtId="0" fontId="5" fillId="7" borderId="1" xfId="0" applyFont="1" applyFill="1" applyBorder="1" applyAlignment="1">
      <alignment horizontal="center" vertical="top"/>
    </xf>
    <xf numFmtId="0" fontId="5" fillId="5" borderId="1" xfId="0" applyFont="1" applyFill="1" applyBorder="1" applyAlignment="1">
      <alignment horizontal="center" vertical="top"/>
    </xf>
    <xf numFmtId="0" fontId="4" fillId="0" borderId="0" xfId="0" applyFont="1"/>
    <xf numFmtId="0" fontId="5" fillId="4" borderId="1" xfId="0" applyFont="1" applyFill="1" applyBorder="1"/>
    <xf numFmtId="0" fontId="5" fillId="0" borderId="0" xfId="0" applyFont="1"/>
    <xf numFmtId="0" fontId="5" fillId="7" borderId="1" xfId="0" applyFont="1" applyFill="1" applyBorder="1"/>
    <xf numFmtId="0" fontId="5" fillId="5" borderId="1" xfId="0" applyFont="1" applyFill="1" applyBorder="1"/>
    <xf numFmtId="0" fontId="5" fillId="5" borderId="1" xfId="0" applyFont="1" applyFill="1" applyBorder="1" applyAlignment="1">
      <alignment vertical="top" wrapText="1"/>
    </xf>
    <xf numFmtId="0" fontId="3" fillId="2" borderId="1" xfId="0" applyFont="1" applyFill="1" applyBorder="1"/>
    <xf numFmtId="3" fontId="5" fillId="0" borderId="1" xfId="0" applyNumberFormat="1" applyFont="1" applyBorder="1" applyAlignment="1">
      <alignment vertical="top"/>
    </xf>
    <xf numFmtId="0" fontId="6" fillId="0" borderId="0" xfId="0" applyFont="1"/>
    <xf numFmtId="0" fontId="5" fillId="0" borderId="1" xfId="0" applyFont="1" applyBorder="1"/>
    <xf numFmtId="0" fontId="3" fillId="2" borderId="1" xfId="0" applyFont="1" applyFill="1" applyBorder="1" applyAlignment="1">
      <alignment horizontal="center" vertical="center"/>
    </xf>
    <xf numFmtId="0" fontId="4" fillId="0" borderId="1" xfId="0" applyFont="1" applyBorder="1" applyAlignment="1">
      <alignment vertical="top" wrapText="1"/>
    </xf>
    <xf numFmtId="4" fontId="7" fillId="10" borderId="1" xfId="0" applyNumberFormat="1" applyFont="1" applyFill="1" applyBorder="1"/>
    <xf numFmtId="4" fontId="5" fillId="0" borderId="1" xfId="0" applyNumberFormat="1" applyFont="1" applyBorder="1"/>
    <xf numFmtId="3" fontId="5" fillId="0" borderId="1" xfId="0" applyNumberFormat="1" applyFont="1" applyBorder="1"/>
    <xf numFmtId="0" fontId="4" fillId="0" borderId="1" xfId="0" applyFont="1" applyBorder="1"/>
    <xf numFmtId="4" fontId="4" fillId="0" borderId="1" xfId="0" applyNumberFormat="1" applyFont="1" applyBorder="1"/>
    <xf numFmtId="3" fontId="4"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F2F2F2"/>
      <rgbColor rgb="FFE2EFDA"/>
      <rgbColor rgb="FFFBE5D6"/>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RegisterMap" displayName="RegisterMap" ref="A5:N41" totalsRowShown="0">
  <autoFilter ref="A5:N41" xr:uid="{00000000-0009-0000-0100-000002000000}"/>
  <tableColumns count="14">
    <tableColumn id="1" xr3:uid="{00000000-0010-0000-0000-000001000000}" name="Reg"/>
    <tableColumn id="2" xr3:uid="{00000000-0010-0000-0000-000002000000}" name="Group"/>
    <tableColumn id="3" xr3:uid="{00000000-0010-0000-0000-000003000000}" name="Field Name"/>
    <tableColumn id="4" xr3:uid="{00000000-0010-0000-0000-000004000000}" name="Code Key"/>
    <tableColumn id="5" xr3:uid="{00000000-0010-0000-0000-000005000000}" name="Formula"/>
    <tableColumn id="6" xr3:uid="{00000000-0010-0000-0000-000006000000}" name="Unit"/>
    <tableColumn id="7" xr3:uid="{00000000-0010-0000-0000-000007000000}" name="Type"/>
    <tableColumn id="8" xr3:uid="{00000000-0010-0000-0000-000008000000}" name="Raw Example"/>
    <tableColumn id="9" xr3:uid="{00000000-0010-0000-0000-000009000000}" name="Decoded Example"/>
    <tableColumn id="10" xr3:uid="{00000000-0010-0000-0000-00000A000000}" name="Observed Min"/>
    <tableColumn id="11" xr3:uid="{00000000-0010-0000-0000-00000B000000}" name="Observed Max"/>
    <tableColumn id="12" xr3:uid="{00000000-0010-0000-0000-00000C000000}" name="Distinct"/>
    <tableColumn id="13" xr3:uid="{00000000-0010-0000-0000-00000D000000}" name="Confidence"/>
    <tableColumn id="14" xr3:uid="{00000000-0010-0000-0000-00000E000000}" name="Evide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rivedValues" displayName="DerivedValues" ref="A4:F24" totalsRowShown="0">
  <autoFilter ref="A4:F24" xr:uid="{00000000-0009-0000-0100-000001000000}"/>
  <tableColumns count="6">
    <tableColumn id="1" xr3:uid="{00000000-0010-0000-0100-000001000000}" name="ID"/>
    <tableColumn id="2" xr3:uid="{00000000-0010-0000-0100-000002000000}" name="Value"/>
    <tableColumn id="3" xr3:uid="{00000000-0010-0000-0100-000003000000}" name="Formula"/>
    <tableColumn id="4" xr3:uid="{00000000-0010-0000-0100-000004000000}" name="Unit"/>
    <tableColumn id="5" xr3:uid="{00000000-0010-0000-0100-000005000000}" name="Worked Example"/>
    <tableColumn id="6" xr3:uid="{00000000-0010-0000-0100-000006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zoomScale="55" zoomScaleNormal="55" workbookViewId="0">
      <pane xSplit="3" ySplit="5" topLeftCell="D6" activePane="bottomRight" state="frozen"/>
      <selection pane="topRight" activeCell="D1" sqref="D1"/>
      <selection pane="bottomLeft" activeCell="A6" sqref="A6"/>
      <selection pane="bottomRight" activeCell="M29" sqref="M29"/>
    </sheetView>
  </sheetViews>
  <sheetFormatPr defaultColWidth="8.6640625" defaultRowHeight="14.4" x14ac:dyDescent="0.3"/>
  <cols>
    <col min="1" max="1" width="6" customWidth="1"/>
    <col min="2" max="2" width="12" customWidth="1"/>
    <col min="3" max="3" width="30" customWidth="1"/>
    <col min="4" max="4" width="24" customWidth="1"/>
    <col min="5" max="5" width="16" customWidth="1"/>
    <col min="6" max="6" width="7" customWidth="1"/>
    <col min="7" max="7" width="8" customWidth="1"/>
    <col min="8" max="8" width="12" customWidth="1"/>
    <col min="9" max="9" width="17" customWidth="1"/>
    <col min="10" max="11" width="18.109375" bestFit="1" customWidth="1"/>
    <col min="12" max="12" width="10" customWidth="1"/>
    <col min="13" max="13" width="12" customWidth="1"/>
    <col min="14" max="14" width="78" customWidth="1"/>
  </cols>
  <sheetData>
    <row r="1" spans="1:14" ht="17.399999999999999" x14ac:dyDescent="0.3">
      <c r="A1" s="2" t="s">
        <v>0</v>
      </c>
    </row>
    <row r="2" spans="1:14" x14ac:dyDescent="0.3">
      <c r="A2" s="3" t="s">
        <v>1</v>
      </c>
    </row>
    <row r="3" spans="1:14" x14ac:dyDescent="0.3">
      <c r="A3" s="3" t="s">
        <v>2</v>
      </c>
    </row>
    <row r="5" spans="1:14" ht="30" customHeight="1" x14ac:dyDescent="0.3">
      <c r="A5" s="4" t="s">
        <v>3</v>
      </c>
      <c r="B5" s="4" t="s">
        <v>4</v>
      </c>
      <c r="C5" s="4" t="s">
        <v>5</v>
      </c>
      <c r="D5" s="4" t="s">
        <v>6</v>
      </c>
      <c r="E5" s="4" t="s">
        <v>7</v>
      </c>
      <c r="F5" s="4" t="s">
        <v>8</v>
      </c>
      <c r="G5" s="4" t="s">
        <v>9</v>
      </c>
      <c r="H5" s="4" t="s">
        <v>10</v>
      </c>
      <c r="I5" s="4" t="s">
        <v>11</v>
      </c>
      <c r="J5" s="4" t="s">
        <v>12</v>
      </c>
      <c r="K5" s="4" t="s">
        <v>13</v>
      </c>
      <c r="L5" s="4" t="s">
        <v>14</v>
      </c>
      <c r="M5" s="4" t="s">
        <v>15</v>
      </c>
      <c r="N5" s="4" t="s">
        <v>16</v>
      </c>
    </row>
    <row r="6" spans="1:14" x14ac:dyDescent="0.3">
      <c r="A6" s="5">
        <v>0</v>
      </c>
      <c r="B6" s="6" t="s">
        <v>17</v>
      </c>
      <c r="C6" s="7" t="s">
        <v>18</v>
      </c>
      <c r="D6" s="8" t="s">
        <v>19</v>
      </c>
      <c r="E6" s="8" t="s">
        <v>20</v>
      </c>
      <c r="F6" s="9" t="s">
        <v>21</v>
      </c>
      <c r="G6" s="9" t="s">
        <v>22</v>
      </c>
      <c r="H6" s="8">
        <v>2</v>
      </c>
      <c r="I6" s="9" t="s">
        <v>23</v>
      </c>
      <c r="J6" s="10">
        <v>0</v>
      </c>
      <c r="K6" s="10">
        <v>3</v>
      </c>
      <c r="L6" s="10">
        <v>4</v>
      </c>
      <c r="M6" s="11" t="s">
        <v>24</v>
      </c>
      <c r="N6" s="12" t="s">
        <v>25</v>
      </c>
    </row>
    <row r="7" spans="1:14" ht="26.4" x14ac:dyDescent="0.3">
      <c r="A7" s="5">
        <v>1</v>
      </c>
      <c r="B7" s="13" t="s">
        <v>374</v>
      </c>
      <c r="C7" s="7" t="s">
        <v>375</v>
      </c>
      <c r="D7" s="7" t="s">
        <v>382</v>
      </c>
      <c r="E7" s="8" t="s">
        <v>26</v>
      </c>
      <c r="F7" s="9" t="s">
        <v>27</v>
      </c>
      <c r="G7" s="9" t="s">
        <v>22</v>
      </c>
      <c r="H7" s="8">
        <v>0</v>
      </c>
      <c r="I7" s="9" t="s">
        <v>28</v>
      </c>
      <c r="J7" s="10">
        <v>0</v>
      </c>
      <c r="K7" s="10">
        <v>8</v>
      </c>
      <c r="L7" s="10">
        <v>3</v>
      </c>
      <c r="M7" s="11" t="s">
        <v>24</v>
      </c>
      <c r="N7" s="12" t="s">
        <v>29</v>
      </c>
    </row>
    <row r="8" spans="1:14" x14ac:dyDescent="0.3">
      <c r="A8" s="5">
        <v>2</v>
      </c>
      <c r="B8" s="13" t="s">
        <v>374</v>
      </c>
      <c r="C8" s="7" t="s">
        <v>376</v>
      </c>
      <c r="D8" s="7" t="s">
        <v>383</v>
      </c>
      <c r="E8" s="8" t="s">
        <v>26</v>
      </c>
      <c r="F8" s="9" t="s">
        <v>27</v>
      </c>
      <c r="G8" s="9" t="s">
        <v>22</v>
      </c>
      <c r="H8" s="8">
        <v>0</v>
      </c>
      <c r="I8" s="9" t="s">
        <v>28</v>
      </c>
      <c r="J8" s="10">
        <v>0</v>
      </c>
      <c r="K8" s="10">
        <v>0</v>
      </c>
      <c r="L8" s="10">
        <v>1</v>
      </c>
      <c r="M8" s="11" t="s">
        <v>24</v>
      </c>
      <c r="N8" s="12" t="s">
        <v>30</v>
      </c>
    </row>
    <row r="9" spans="1:14" x14ac:dyDescent="0.3">
      <c r="A9" s="5">
        <v>3</v>
      </c>
      <c r="B9" s="13" t="s">
        <v>374</v>
      </c>
      <c r="C9" s="7" t="s">
        <v>377</v>
      </c>
      <c r="D9" s="7" t="s">
        <v>380</v>
      </c>
      <c r="E9" s="8" t="s">
        <v>26</v>
      </c>
      <c r="F9" s="9" t="s">
        <v>27</v>
      </c>
      <c r="G9" s="9" t="s">
        <v>22</v>
      </c>
      <c r="H9" s="8">
        <v>0</v>
      </c>
      <c r="I9" s="9" t="s">
        <v>28</v>
      </c>
      <c r="J9" s="10">
        <v>0</v>
      </c>
      <c r="K9" s="10">
        <v>0</v>
      </c>
      <c r="L9" s="10">
        <v>1</v>
      </c>
      <c r="M9" s="11" t="s">
        <v>24</v>
      </c>
      <c r="N9" s="12" t="s">
        <v>30</v>
      </c>
    </row>
    <row r="10" spans="1:14" ht="26.4" x14ac:dyDescent="0.3">
      <c r="A10" s="5">
        <v>4</v>
      </c>
      <c r="B10" s="13" t="s">
        <v>374</v>
      </c>
      <c r="C10" s="7" t="s">
        <v>378</v>
      </c>
      <c r="D10" s="7" t="s">
        <v>381</v>
      </c>
      <c r="E10" s="8" t="s">
        <v>26</v>
      </c>
      <c r="F10" s="9" t="s">
        <v>27</v>
      </c>
      <c r="G10" s="9" t="s">
        <v>22</v>
      </c>
      <c r="H10" s="8">
        <v>0</v>
      </c>
      <c r="I10" s="9" t="s">
        <v>28</v>
      </c>
      <c r="J10" s="10">
        <v>0</v>
      </c>
      <c r="K10" s="10">
        <v>128</v>
      </c>
      <c r="L10" s="10">
        <v>2</v>
      </c>
      <c r="M10" s="11" t="s">
        <v>24</v>
      </c>
      <c r="N10" s="12" t="s">
        <v>31</v>
      </c>
    </row>
    <row r="11" spans="1:14" x14ac:dyDescent="0.3">
      <c r="A11" s="5">
        <v>5</v>
      </c>
      <c r="B11" s="13" t="s">
        <v>374</v>
      </c>
      <c r="C11" s="7" t="s">
        <v>379</v>
      </c>
      <c r="D11" s="7" t="s">
        <v>384</v>
      </c>
      <c r="E11" s="8" t="s">
        <v>26</v>
      </c>
      <c r="F11" s="9" t="s">
        <v>27</v>
      </c>
      <c r="G11" s="9" t="s">
        <v>22</v>
      </c>
      <c r="H11" s="8">
        <v>0</v>
      </c>
      <c r="I11" s="9" t="s">
        <v>28</v>
      </c>
      <c r="J11" s="10">
        <v>0</v>
      </c>
      <c r="K11" s="10">
        <v>0</v>
      </c>
      <c r="L11" s="10">
        <v>1</v>
      </c>
      <c r="M11" s="11" t="s">
        <v>24</v>
      </c>
      <c r="N11" s="12" t="s">
        <v>30</v>
      </c>
    </row>
    <row r="12" spans="1:14" x14ac:dyDescent="0.3">
      <c r="A12" s="5">
        <v>6</v>
      </c>
      <c r="B12" s="14" t="s">
        <v>32</v>
      </c>
      <c r="C12" s="7" t="s">
        <v>33</v>
      </c>
      <c r="D12" s="8" t="s">
        <v>34</v>
      </c>
      <c r="E12" s="8" t="s">
        <v>35</v>
      </c>
      <c r="F12" s="9" t="s">
        <v>36</v>
      </c>
      <c r="G12" s="9" t="s">
        <v>22</v>
      </c>
      <c r="H12" s="8">
        <v>5761</v>
      </c>
      <c r="I12" s="9" t="s">
        <v>37</v>
      </c>
      <c r="J12" s="10">
        <v>344</v>
      </c>
      <c r="K12" s="10">
        <v>8027</v>
      </c>
      <c r="L12" s="10">
        <v>3181</v>
      </c>
      <c r="M12" s="11" t="s">
        <v>24</v>
      </c>
      <c r="N12" s="12" t="s">
        <v>38</v>
      </c>
    </row>
    <row r="13" spans="1:14" x14ac:dyDescent="0.3">
      <c r="A13" s="5">
        <v>7</v>
      </c>
      <c r="B13" s="14" t="s">
        <v>32</v>
      </c>
      <c r="C13" s="7" t="s">
        <v>39</v>
      </c>
      <c r="D13" s="8" t="s">
        <v>40</v>
      </c>
      <c r="E13" s="8" t="s">
        <v>41</v>
      </c>
      <c r="F13" s="9" t="s">
        <v>42</v>
      </c>
      <c r="G13" s="9" t="s">
        <v>22</v>
      </c>
      <c r="H13" s="8">
        <v>1933</v>
      </c>
      <c r="I13" s="9" t="s">
        <v>43</v>
      </c>
      <c r="J13" s="10">
        <v>0</v>
      </c>
      <c r="K13" s="10">
        <v>3201</v>
      </c>
      <c r="L13" s="10">
        <v>2266</v>
      </c>
      <c r="M13" s="11" t="s">
        <v>24</v>
      </c>
      <c r="N13" s="12" t="s">
        <v>44</v>
      </c>
    </row>
    <row r="14" spans="1:14" x14ac:dyDescent="0.3">
      <c r="A14" s="5">
        <v>8</v>
      </c>
      <c r="B14" s="14" t="s">
        <v>32</v>
      </c>
      <c r="C14" s="7" t="s">
        <v>45</v>
      </c>
      <c r="D14" s="8" t="s">
        <v>46</v>
      </c>
      <c r="E14" s="8" t="s">
        <v>47</v>
      </c>
      <c r="F14" s="9" t="s">
        <v>36</v>
      </c>
      <c r="G14" s="9" t="s">
        <v>22</v>
      </c>
      <c r="H14" s="8">
        <v>6391</v>
      </c>
      <c r="I14" s="9" t="s">
        <v>48</v>
      </c>
      <c r="J14" s="10">
        <v>1484</v>
      </c>
      <c r="K14" s="10">
        <v>8179</v>
      </c>
      <c r="L14" s="10">
        <v>3935</v>
      </c>
      <c r="M14" s="11" t="s">
        <v>24</v>
      </c>
      <c r="N14" s="12" t="s">
        <v>49</v>
      </c>
    </row>
    <row r="15" spans="1:14" x14ac:dyDescent="0.3">
      <c r="A15" s="5">
        <v>9</v>
      </c>
      <c r="B15" s="14" t="s">
        <v>32</v>
      </c>
      <c r="C15" s="7" t="s">
        <v>50</v>
      </c>
      <c r="D15" s="8" t="s">
        <v>51</v>
      </c>
      <c r="E15" s="8" t="s">
        <v>52</v>
      </c>
      <c r="F15" s="9" t="s">
        <v>42</v>
      </c>
      <c r="G15" s="9" t="s">
        <v>22</v>
      </c>
      <c r="H15" s="8">
        <v>719</v>
      </c>
      <c r="I15" s="9" t="s">
        <v>53</v>
      </c>
      <c r="J15" s="10">
        <v>0</v>
      </c>
      <c r="K15" s="10">
        <v>2990</v>
      </c>
      <c r="L15" s="10">
        <v>1651</v>
      </c>
      <c r="M15" s="11" t="s">
        <v>24</v>
      </c>
      <c r="N15" s="12" t="s">
        <v>54</v>
      </c>
    </row>
    <row r="16" spans="1:14" x14ac:dyDescent="0.3">
      <c r="A16" s="5">
        <v>10</v>
      </c>
      <c r="B16" s="14" t="s">
        <v>32</v>
      </c>
      <c r="C16" s="7" t="s">
        <v>55</v>
      </c>
      <c r="D16" s="8" t="s">
        <v>56</v>
      </c>
      <c r="E16" s="8" t="s">
        <v>57</v>
      </c>
      <c r="F16" s="9" t="s">
        <v>58</v>
      </c>
      <c r="G16" s="9" t="s">
        <v>22</v>
      </c>
      <c r="H16" s="8">
        <v>1114</v>
      </c>
      <c r="I16" s="9" t="s">
        <v>59</v>
      </c>
      <c r="J16" s="10">
        <v>0</v>
      </c>
      <c r="K16" s="10">
        <v>1865</v>
      </c>
      <c r="L16" s="10">
        <v>1476</v>
      </c>
      <c r="M16" s="11" t="s">
        <v>24</v>
      </c>
      <c r="N16" s="12" t="s">
        <v>60</v>
      </c>
    </row>
    <row r="17" spans="1:14" x14ac:dyDescent="0.3">
      <c r="A17" s="5">
        <v>11</v>
      </c>
      <c r="B17" s="14" t="s">
        <v>32</v>
      </c>
      <c r="C17" s="7" t="s">
        <v>61</v>
      </c>
      <c r="D17" s="8" t="s">
        <v>62</v>
      </c>
      <c r="E17" s="8" t="s">
        <v>63</v>
      </c>
      <c r="F17" s="9" t="s">
        <v>58</v>
      </c>
      <c r="G17" s="9" t="s">
        <v>22</v>
      </c>
      <c r="H17" s="8">
        <v>462</v>
      </c>
      <c r="I17" s="9" t="s">
        <v>64</v>
      </c>
      <c r="J17" s="10">
        <v>0</v>
      </c>
      <c r="K17" s="10">
        <v>1232</v>
      </c>
      <c r="L17" s="10">
        <v>963</v>
      </c>
      <c r="M17" s="11" t="s">
        <v>24</v>
      </c>
      <c r="N17" s="12" t="s">
        <v>65</v>
      </c>
    </row>
    <row r="18" spans="1:14" x14ac:dyDescent="0.3">
      <c r="A18" s="5">
        <v>12</v>
      </c>
      <c r="B18" s="15" t="s">
        <v>66</v>
      </c>
      <c r="C18" s="7" t="s">
        <v>67</v>
      </c>
      <c r="D18" s="8" t="s">
        <v>68</v>
      </c>
      <c r="E18" s="8" t="s">
        <v>69</v>
      </c>
      <c r="F18" s="9" t="s">
        <v>58</v>
      </c>
      <c r="G18" s="9" t="s">
        <v>22</v>
      </c>
      <c r="H18" s="8">
        <v>1530</v>
      </c>
      <c r="I18" s="9" t="s">
        <v>70</v>
      </c>
      <c r="J18" s="10">
        <v>0</v>
      </c>
      <c r="K18" s="10">
        <v>2714</v>
      </c>
      <c r="L18" s="10">
        <v>2021</v>
      </c>
      <c r="M18" s="11" t="s">
        <v>24</v>
      </c>
      <c r="N18" s="12" t="s">
        <v>71</v>
      </c>
    </row>
    <row r="19" spans="1:14" ht="26.4" x14ac:dyDescent="0.3">
      <c r="A19" s="5">
        <v>13</v>
      </c>
      <c r="B19" s="15" t="s">
        <v>66</v>
      </c>
      <c r="C19" s="7" t="s">
        <v>72</v>
      </c>
      <c r="D19" s="8" t="s">
        <v>73</v>
      </c>
      <c r="E19" s="8" t="s">
        <v>74</v>
      </c>
      <c r="F19" s="9" t="s">
        <v>75</v>
      </c>
      <c r="G19" s="9" t="s">
        <v>76</v>
      </c>
      <c r="H19" s="8">
        <v>11</v>
      </c>
      <c r="I19" s="9" t="s">
        <v>77</v>
      </c>
      <c r="J19" s="10">
        <v>0</v>
      </c>
      <c r="K19" s="10">
        <v>65535</v>
      </c>
      <c r="L19" s="10">
        <v>109</v>
      </c>
      <c r="M19" s="11" t="s">
        <v>24</v>
      </c>
      <c r="N19" s="12" t="s">
        <v>78</v>
      </c>
    </row>
    <row r="20" spans="1:14" x14ac:dyDescent="0.3">
      <c r="A20" s="5">
        <v>14</v>
      </c>
      <c r="B20" s="15" t="s">
        <v>66</v>
      </c>
      <c r="C20" s="7" t="s">
        <v>79</v>
      </c>
      <c r="D20" s="8" t="s">
        <v>80</v>
      </c>
      <c r="E20" s="8" t="s">
        <v>81</v>
      </c>
      <c r="F20" s="9" t="s">
        <v>82</v>
      </c>
      <c r="G20" s="9" t="s">
        <v>22</v>
      </c>
      <c r="H20" s="8">
        <v>5004</v>
      </c>
      <c r="I20" s="9" t="s">
        <v>83</v>
      </c>
      <c r="J20" s="10">
        <v>4858</v>
      </c>
      <c r="K20" s="10">
        <v>5195</v>
      </c>
      <c r="L20" s="10">
        <v>79</v>
      </c>
      <c r="M20" s="11" t="s">
        <v>24</v>
      </c>
      <c r="N20" s="12" t="s">
        <v>84</v>
      </c>
    </row>
    <row r="21" spans="1:14" x14ac:dyDescent="0.3">
      <c r="A21" s="5">
        <v>15</v>
      </c>
      <c r="B21" s="15" t="s">
        <v>66</v>
      </c>
      <c r="C21" s="7" t="s">
        <v>85</v>
      </c>
      <c r="D21" s="8" t="s">
        <v>86</v>
      </c>
      <c r="E21" s="8" t="s">
        <v>87</v>
      </c>
      <c r="F21" s="9" t="s">
        <v>36</v>
      </c>
      <c r="G21" s="9" t="s">
        <v>22</v>
      </c>
      <c r="H21" s="8">
        <v>2435</v>
      </c>
      <c r="I21" s="9" t="s">
        <v>88</v>
      </c>
      <c r="J21" s="10">
        <v>2287</v>
      </c>
      <c r="K21" s="10">
        <v>2582</v>
      </c>
      <c r="L21" s="10">
        <v>268</v>
      </c>
      <c r="M21" s="11" t="s">
        <v>24</v>
      </c>
      <c r="N21" s="12" t="s">
        <v>89</v>
      </c>
    </row>
    <row r="22" spans="1:14" x14ac:dyDescent="0.3">
      <c r="A22" s="5">
        <v>16</v>
      </c>
      <c r="B22" s="15" t="s">
        <v>66</v>
      </c>
      <c r="C22" s="7" t="s">
        <v>90</v>
      </c>
      <c r="D22" s="8" t="s">
        <v>91</v>
      </c>
      <c r="E22" s="8" t="s">
        <v>92</v>
      </c>
      <c r="F22" s="9" t="s">
        <v>42</v>
      </c>
      <c r="G22" s="9" t="s">
        <v>22</v>
      </c>
      <c r="H22" s="8">
        <v>2104</v>
      </c>
      <c r="I22" s="9" t="s">
        <v>93</v>
      </c>
      <c r="J22" s="10">
        <v>0</v>
      </c>
      <c r="K22" s="10">
        <v>3729</v>
      </c>
      <c r="L22" s="10">
        <v>2471</v>
      </c>
      <c r="M22" s="11" t="s">
        <v>24</v>
      </c>
      <c r="N22" s="12" t="s">
        <v>94</v>
      </c>
    </row>
    <row r="23" spans="1:14" x14ac:dyDescent="0.3">
      <c r="A23" s="5">
        <v>17</v>
      </c>
      <c r="B23" s="15" t="s">
        <v>66</v>
      </c>
      <c r="C23" s="7" t="s">
        <v>95</v>
      </c>
      <c r="D23" s="8" t="s">
        <v>96</v>
      </c>
      <c r="E23" s="8" t="s">
        <v>97</v>
      </c>
      <c r="F23" s="9" t="s">
        <v>36</v>
      </c>
      <c r="G23" s="9" t="s">
        <v>22</v>
      </c>
      <c r="H23" s="8">
        <v>2422</v>
      </c>
      <c r="I23" s="9" t="s">
        <v>98</v>
      </c>
      <c r="J23" s="10">
        <v>2255</v>
      </c>
      <c r="K23" s="10">
        <v>2570</v>
      </c>
      <c r="L23" s="10">
        <v>283</v>
      </c>
      <c r="M23" s="11" t="s">
        <v>24</v>
      </c>
      <c r="N23" s="12" t="s">
        <v>99</v>
      </c>
    </row>
    <row r="24" spans="1:14" x14ac:dyDescent="0.3">
      <c r="A24" s="5">
        <v>18</v>
      </c>
      <c r="B24" s="15" t="s">
        <v>66</v>
      </c>
      <c r="C24" s="7" t="s">
        <v>100</v>
      </c>
      <c r="D24" s="8" t="s">
        <v>101</v>
      </c>
      <c r="E24" s="8" t="s">
        <v>102</v>
      </c>
      <c r="F24" s="9" t="s">
        <v>42</v>
      </c>
      <c r="G24" s="9" t="s">
        <v>22</v>
      </c>
      <c r="H24" s="8">
        <v>2098</v>
      </c>
      <c r="I24" s="9" t="s">
        <v>103</v>
      </c>
      <c r="J24" s="10">
        <v>0</v>
      </c>
      <c r="K24" s="10">
        <v>3733</v>
      </c>
      <c r="L24" s="10">
        <v>2466</v>
      </c>
      <c r="M24" s="11" t="s">
        <v>24</v>
      </c>
      <c r="N24" s="12" t="s">
        <v>99</v>
      </c>
    </row>
    <row r="25" spans="1:14" x14ac:dyDescent="0.3">
      <c r="A25" s="5">
        <v>19</v>
      </c>
      <c r="B25" s="15" t="s">
        <v>66</v>
      </c>
      <c r="C25" s="7" t="s">
        <v>104</v>
      </c>
      <c r="D25" s="8" t="s">
        <v>105</v>
      </c>
      <c r="E25" s="8" t="s">
        <v>106</v>
      </c>
      <c r="F25" s="9" t="s">
        <v>36</v>
      </c>
      <c r="G25" s="9" t="s">
        <v>22</v>
      </c>
      <c r="H25" s="8">
        <v>2425</v>
      </c>
      <c r="I25" s="9" t="s">
        <v>107</v>
      </c>
      <c r="J25" s="10">
        <v>2284</v>
      </c>
      <c r="K25" s="10">
        <v>2576</v>
      </c>
      <c r="L25" s="10">
        <v>269</v>
      </c>
      <c r="M25" s="11" t="s">
        <v>24</v>
      </c>
      <c r="N25" s="12" t="s">
        <v>99</v>
      </c>
    </row>
    <row r="26" spans="1:14" x14ac:dyDescent="0.3">
      <c r="A26" s="5">
        <v>20</v>
      </c>
      <c r="B26" s="15" t="s">
        <v>66</v>
      </c>
      <c r="C26" s="7" t="s">
        <v>108</v>
      </c>
      <c r="D26" s="8" t="s">
        <v>109</v>
      </c>
      <c r="E26" s="8" t="s">
        <v>110</v>
      </c>
      <c r="F26" s="9" t="s">
        <v>42</v>
      </c>
      <c r="G26" s="9" t="s">
        <v>22</v>
      </c>
      <c r="H26" s="8">
        <v>2097</v>
      </c>
      <c r="I26" s="9" t="s">
        <v>111</v>
      </c>
      <c r="J26" s="10">
        <v>0</v>
      </c>
      <c r="K26" s="10">
        <v>3738</v>
      </c>
      <c r="L26" s="10">
        <v>2481</v>
      </c>
      <c r="M26" s="11" t="s">
        <v>24</v>
      </c>
      <c r="N26" s="12" t="s">
        <v>99</v>
      </c>
    </row>
    <row r="27" spans="1:14" x14ac:dyDescent="0.3">
      <c r="A27" s="5">
        <v>21</v>
      </c>
      <c r="B27" s="16" t="s">
        <v>112</v>
      </c>
      <c r="C27" s="7" t="s">
        <v>113</v>
      </c>
      <c r="D27" s="8" t="s">
        <v>114</v>
      </c>
      <c r="E27" s="8" t="s">
        <v>115</v>
      </c>
      <c r="F27" s="9" t="s">
        <v>116</v>
      </c>
      <c r="G27" s="9" t="s">
        <v>22</v>
      </c>
      <c r="H27" s="8">
        <v>1</v>
      </c>
      <c r="I27" s="9" t="s">
        <v>117</v>
      </c>
      <c r="J27" s="10">
        <v>0</v>
      </c>
      <c r="K27" s="10">
        <v>1</v>
      </c>
      <c r="L27" s="10">
        <v>2</v>
      </c>
      <c r="M27" s="11" t="s">
        <v>24</v>
      </c>
      <c r="N27" s="12" t="s">
        <v>118</v>
      </c>
    </row>
    <row r="28" spans="1:14" x14ac:dyDescent="0.3">
      <c r="A28" s="5">
        <v>22</v>
      </c>
      <c r="B28" s="16" t="s">
        <v>112</v>
      </c>
      <c r="C28" s="7" t="s">
        <v>119</v>
      </c>
      <c r="D28" s="8" t="s">
        <v>120</v>
      </c>
      <c r="E28" s="8" t="s">
        <v>121</v>
      </c>
      <c r="F28" s="9" t="s">
        <v>116</v>
      </c>
      <c r="G28" s="9" t="s">
        <v>22</v>
      </c>
      <c r="H28" s="8">
        <v>9340</v>
      </c>
      <c r="I28" s="9" t="s">
        <v>122</v>
      </c>
      <c r="J28" s="10">
        <v>62</v>
      </c>
      <c r="K28" s="10">
        <v>59310</v>
      </c>
      <c r="L28" s="10">
        <v>247</v>
      </c>
      <c r="M28" s="11" t="s">
        <v>24</v>
      </c>
      <c r="N28" s="12" t="s">
        <v>123</v>
      </c>
    </row>
    <row r="29" spans="1:14" x14ac:dyDescent="0.3">
      <c r="A29" s="5">
        <v>23</v>
      </c>
      <c r="B29" s="16" t="s">
        <v>112</v>
      </c>
      <c r="C29" s="7" t="s">
        <v>124</v>
      </c>
      <c r="D29" s="8" t="s">
        <v>125</v>
      </c>
      <c r="E29" s="8" t="s">
        <v>126</v>
      </c>
      <c r="F29" s="9" t="s">
        <v>116</v>
      </c>
      <c r="G29" s="9" t="s">
        <v>22</v>
      </c>
      <c r="H29" s="8">
        <v>0</v>
      </c>
      <c r="I29" s="9" t="s">
        <v>127</v>
      </c>
      <c r="J29" s="10">
        <v>0</v>
      </c>
      <c r="K29" s="10">
        <v>0</v>
      </c>
      <c r="L29" s="10">
        <v>1</v>
      </c>
      <c r="M29" s="11" t="s">
        <v>24</v>
      </c>
      <c r="N29" s="12" t="s">
        <v>128</v>
      </c>
    </row>
    <row r="30" spans="1:14" x14ac:dyDescent="0.3">
      <c r="A30" s="5">
        <v>24</v>
      </c>
      <c r="B30" s="16" t="s">
        <v>112</v>
      </c>
      <c r="C30" s="7" t="s">
        <v>129</v>
      </c>
      <c r="D30" s="8" t="s">
        <v>130</v>
      </c>
      <c r="E30" s="8" t="s">
        <v>131</v>
      </c>
      <c r="F30" s="9" t="s">
        <v>116</v>
      </c>
      <c r="G30" s="9" t="s">
        <v>22</v>
      </c>
      <c r="H30" s="8">
        <v>13361</v>
      </c>
      <c r="I30" s="9" t="s">
        <v>132</v>
      </c>
      <c r="J30" s="10">
        <v>10390</v>
      </c>
      <c r="K30" s="10">
        <v>13546</v>
      </c>
      <c r="L30" s="10">
        <v>46</v>
      </c>
      <c r="M30" s="11" t="s">
        <v>24</v>
      </c>
      <c r="N30" s="12" t="s">
        <v>133</v>
      </c>
    </row>
    <row r="31" spans="1:14" ht="26.4" x14ac:dyDescent="0.3">
      <c r="A31" s="5">
        <v>25</v>
      </c>
      <c r="B31" s="16" t="s">
        <v>112</v>
      </c>
      <c r="C31" s="7" t="s">
        <v>134</v>
      </c>
      <c r="D31" s="8" t="s">
        <v>135</v>
      </c>
      <c r="E31" s="8" t="s">
        <v>136</v>
      </c>
      <c r="F31" s="9" t="s">
        <v>137</v>
      </c>
      <c r="G31" s="9" t="s">
        <v>22</v>
      </c>
      <c r="H31" s="8">
        <v>3039</v>
      </c>
      <c r="I31" s="9" t="s">
        <v>138</v>
      </c>
      <c r="J31" s="10">
        <v>0</v>
      </c>
      <c r="K31" s="10">
        <v>10899</v>
      </c>
      <c r="L31" s="10">
        <v>5971</v>
      </c>
      <c r="M31" s="11" t="s">
        <v>24</v>
      </c>
      <c r="N31" s="12" t="s">
        <v>139</v>
      </c>
    </row>
    <row r="32" spans="1:14" ht="39.6" x14ac:dyDescent="0.3">
      <c r="A32" s="5">
        <v>26</v>
      </c>
      <c r="B32" s="16" t="s">
        <v>112</v>
      </c>
      <c r="C32" s="7" t="s">
        <v>140</v>
      </c>
      <c r="D32" s="8" t="s">
        <v>141</v>
      </c>
      <c r="E32" s="8" t="s">
        <v>142</v>
      </c>
      <c r="F32" s="9" t="s">
        <v>143</v>
      </c>
      <c r="G32" s="9" t="s">
        <v>22</v>
      </c>
      <c r="H32" s="8">
        <v>311</v>
      </c>
      <c r="I32" s="9" t="s">
        <v>144</v>
      </c>
      <c r="J32" s="10">
        <v>0</v>
      </c>
      <c r="K32" s="10">
        <v>776</v>
      </c>
      <c r="L32" s="10">
        <v>752</v>
      </c>
      <c r="M32" s="11" t="s">
        <v>24</v>
      </c>
      <c r="N32" s="12" t="s">
        <v>145</v>
      </c>
    </row>
    <row r="33" spans="1:14" x14ac:dyDescent="0.3">
      <c r="A33" s="5">
        <v>27</v>
      </c>
      <c r="B33" s="17" t="s">
        <v>146</v>
      </c>
      <c r="C33" s="7" t="s">
        <v>147</v>
      </c>
      <c r="D33" s="8" t="s">
        <v>148</v>
      </c>
      <c r="E33" s="8" t="s">
        <v>149</v>
      </c>
      <c r="F33" s="9" t="s">
        <v>150</v>
      </c>
      <c r="G33" s="9" t="s">
        <v>22</v>
      </c>
      <c r="H33" s="8">
        <v>55</v>
      </c>
      <c r="I33" s="9" t="s">
        <v>151</v>
      </c>
      <c r="J33" s="10">
        <v>20</v>
      </c>
      <c r="K33" s="10">
        <v>70</v>
      </c>
      <c r="L33" s="10">
        <v>48</v>
      </c>
      <c r="M33" s="11" t="s">
        <v>24</v>
      </c>
      <c r="N33" s="12" t="s">
        <v>152</v>
      </c>
    </row>
    <row r="34" spans="1:14" ht="26.4" x14ac:dyDescent="0.3">
      <c r="A34" s="5">
        <v>28</v>
      </c>
      <c r="B34" s="17" t="s">
        <v>146</v>
      </c>
      <c r="C34" s="7" t="s">
        <v>153</v>
      </c>
      <c r="D34" s="8" t="s">
        <v>154</v>
      </c>
      <c r="E34" s="8" t="s">
        <v>155</v>
      </c>
      <c r="F34" s="9" t="s">
        <v>150</v>
      </c>
      <c r="G34" s="9" t="s">
        <v>22</v>
      </c>
      <c r="H34" s="8">
        <v>53</v>
      </c>
      <c r="I34" s="9" t="s">
        <v>156</v>
      </c>
      <c r="J34" s="10">
        <v>20</v>
      </c>
      <c r="K34" s="10">
        <v>58</v>
      </c>
      <c r="L34" s="10">
        <v>32</v>
      </c>
      <c r="M34" s="11" t="s">
        <v>24</v>
      </c>
      <c r="N34" s="12" t="s">
        <v>157</v>
      </c>
    </row>
    <row r="35" spans="1:14" ht="26.4" x14ac:dyDescent="0.3">
      <c r="A35" s="5">
        <v>29</v>
      </c>
      <c r="B35" s="14" t="s">
        <v>32</v>
      </c>
      <c r="C35" s="7" t="s">
        <v>158</v>
      </c>
      <c r="D35" s="8" t="s">
        <v>159</v>
      </c>
      <c r="E35" s="8" t="s">
        <v>160</v>
      </c>
      <c r="F35" s="9" t="s">
        <v>36</v>
      </c>
      <c r="G35" s="9" t="s">
        <v>22</v>
      </c>
      <c r="H35" s="8">
        <v>6590</v>
      </c>
      <c r="I35" s="9" t="s">
        <v>161</v>
      </c>
      <c r="J35" s="10">
        <v>2166</v>
      </c>
      <c r="K35" s="10">
        <v>8993</v>
      </c>
      <c r="L35" s="10">
        <v>1353</v>
      </c>
      <c r="M35" s="11" t="s">
        <v>24</v>
      </c>
      <c r="N35" s="12" t="s">
        <v>162</v>
      </c>
    </row>
    <row r="36" spans="1:14" x14ac:dyDescent="0.3">
      <c r="A36" s="5">
        <v>30</v>
      </c>
      <c r="B36" s="18" t="s">
        <v>163</v>
      </c>
      <c r="C36" s="7" t="s">
        <v>164</v>
      </c>
      <c r="D36" s="8" t="s">
        <v>165</v>
      </c>
      <c r="E36" s="8" t="s">
        <v>166</v>
      </c>
      <c r="F36" s="9" t="s">
        <v>36</v>
      </c>
      <c r="G36" s="9" t="s">
        <v>22</v>
      </c>
      <c r="H36" s="8">
        <v>5743</v>
      </c>
      <c r="I36" s="9" t="s">
        <v>167</v>
      </c>
      <c r="J36" s="10">
        <v>329</v>
      </c>
      <c r="K36" s="10">
        <v>7978</v>
      </c>
      <c r="L36" s="10">
        <v>3176</v>
      </c>
      <c r="M36" s="19" t="s">
        <v>168</v>
      </c>
      <c r="N36" s="12" t="s">
        <v>169</v>
      </c>
    </row>
    <row r="37" spans="1:14" x14ac:dyDescent="0.3">
      <c r="A37" s="5">
        <v>31</v>
      </c>
      <c r="B37" s="18" t="s">
        <v>163</v>
      </c>
      <c r="C37" s="7" t="s">
        <v>170</v>
      </c>
      <c r="D37" s="8" t="s">
        <v>171</v>
      </c>
      <c r="E37" s="8" t="s">
        <v>172</v>
      </c>
      <c r="F37" s="9" t="s">
        <v>36</v>
      </c>
      <c r="G37" s="9" t="s">
        <v>22</v>
      </c>
      <c r="H37" s="8">
        <v>6372</v>
      </c>
      <c r="I37" s="9" t="s">
        <v>173</v>
      </c>
      <c r="J37" s="10">
        <v>1479</v>
      </c>
      <c r="K37" s="10">
        <v>8154</v>
      </c>
      <c r="L37" s="10">
        <v>3956</v>
      </c>
      <c r="M37" s="19" t="s">
        <v>168</v>
      </c>
      <c r="N37" s="12" t="s">
        <v>174</v>
      </c>
    </row>
    <row r="38" spans="1:14" ht="26.4" x14ac:dyDescent="0.3">
      <c r="A38" s="5">
        <v>32</v>
      </c>
      <c r="B38" s="6" t="s">
        <v>17</v>
      </c>
      <c r="C38" s="7" t="s">
        <v>175</v>
      </c>
      <c r="D38" s="8" t="s">
        <v>176</v>
      </c>
      <c r="E38" s="8" t="s">
        <v>177</v>
      </c>
      <c r="F38" s="9" t="s">
        <v>178</v>
      </c>
      <c r="G38" s="9" t="s">
        <v>22</v>
      </c>
      <c r="H38" s="8">
        <v>60</v>
      </c>
      <c r="I38" s="9" t="s">
        <v>179</v>
      </c>
      <c r="J38" s="10">
        <v>0</v>
      </c>
      <c r="K38" s="10">
        <v>60</v>
      </c>
      <c r="L38" s="10">
        <v>39</v>
      </c>
      <c r="M38" s="11" t="s">
        <v>24</v>
      </c>
      <c r="N38" s="12" t="s">
        <v>180</v>
      </c>
    </row>
    <row r="39" spans="1:14" x14ac:dyDescent="0.3">
      <c r="A39" s="5">
        <v>33</v>
      </c>
      <c r="B39" s="18" t="s">
        <v>181</v>
      </c>
      <c r="C39" s="7" t="s">
        <v>181</v>
      </c>
      <c r="D39" s="8" t="s">
        <v>385</v>
      </c>
      <c r="E39" s="8" t="s">
        <v>116</v>
      </c>
      <c r="F39" s="9" t="s">
        <v>116</v>
      </c>
      <c r="G39" s="9" t="s">
        <v>22</v>
      </c>
      <c r="H39" s="8">
        <v>0</v>
      </c>
      <c r="I39" s="9" t="s">
        <v>116</v>
      </c>
      <c r="J39" s="10">
        <v>0</v>
      </c>
      <c r="K39" s="10">
        <v>0</v>
      </c>
      <c r="L39" s="10">
        <v>1</v>
      </c>
      <c r="M39" s="11" t="s">
        <v>24</v>
      </c>
      <c r="N39" s="12" t="s">
        <v>30</v>
      </c>
    </row>
    <row r="40" spans="1:14" x14ac:dyDescent="0.3">
      <c r="A40" s="5">
        <v>34</v>
      </c>
      <c r="B40" s="18" t="s">
        <v>181</v>
      </c>
      <c r="C40" s="7" t="s">
        <v>181</v>
      </c>
      <c r="D40" s="8" t="s">
        <v>386</v>
      </c>
      <c r="E40" s="8" t="s">
        <v>116</v>
      </c>
      <c r="F40" s="9" t="s">
        <v>116</v>
      </c>
      <c r="G40" s="9" t="s">
        <v>22</v>
      </c>
      <c r="H40" s="8">
        <v>1</v>
      </c>
      <c r="I40" s="9" t="s">
        <v>116</v>
      </c>
      <c r="J40" s="10">
        <v>1</v>
      </c>
      <c r="K40" s="10">
        <v>1</v>
      </c>
      <c r="L40" s="10">
        <v>1</v>
      </c>
      <c r="M40" s="11" t="s">
        <v>24</v>
      </c>
      <c r="N40" s="12" t="s">
        <v>182</v>
      </c>
    </row>
    <row r="41" spans="1:14" ht="26.4" x14ac:dyDescent="0.3">
      <c r="A41" s="5">
        <v>35</v>
      </c>
      <c r="B41" s="18" t="s">
        <v>181</v>
      </c>
      <c r="C41" s="7" t="s">
        <v>387</v>
      </c>
      <c r="D41" s="8" t="s">
        <v>183</v>
      </c>
      <c r="E41" s="8" t="s">
        <v>184</v>
      </c>
      <c r="F41" s="9" t="s">
        <v>116</v>
      </c>
      <c r="G41" s="9" t="s">
        <v>22</v>
      </c>
      <c r="H41" s="8">
        <v>0</v>
      </c>
      <c r="I41" s="9" t="s">
        <v>116</v>
      </c>
      <c r="J41" s="10">
        <v>0</v>
      </c>
      <c r="K41" s="10">
        <v>64</v>
      </c>
      <c r="L41" s="10">
        <v>2</v>
      </c>
      <c r="M41" s="20" t="s">
        <v>185</v>
      </c>
      <c r="N41" s="12" t="s">
        <v>186</v>
      </c>
    </row>
    <row r="43" spans="1:14" x14ac:dyDescent="0.3">
      <c r="A43" s="21" t="s">
        <v>187</v>
      </c>
    </row>
    <row r="44" spans="1:14" x14ac:dyDescent="0.3">
      <c r="A44" s="22" t="s">
        <v>24</v>
      </c>
      <c r="C44" s="23" t="s">
        <v>188</v>
      </c>
    </row>
    <row r="45" spans="1:14" x14ac:dyDescent="0.3">
      <c r="A45" s="24" t="s">
        <v>168</v>
      </c>
      <c r="C45" s="23" t="s">
        <v>189</v>
      </c>
    </row>
    <row r="46" spans="1:14" x14ac:dyDescent="0.3">
      <c r="A46" s="25" t="s">
        <v>185</v>
      </c>
      <c r="C46" s="23" t="s">
        <v>190</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zoomScale="85" zoomScaleNormal="85" workbookViewId="0">
      <pane ySplit="4" topLeftCell="A5" activePane="bottomLeft" state="frozen"/>
      <selection pane="bottomLeft"/>
    </sheetView>
  </sheetViews>
  <sheetFormatPr defaultColWidth="8.6640625" defaultRowHeight="14.4" x14ac:dyDescent="0.3"/>
  <cols>
    <col min="1" max="1" width="7" customWidth="1"/>
    <col min="2" max="2" width="28" customWidth="1"/>
    <col min="3" max="3" width="36" customWidth="1"/>
    <col min="4" max="4" width="9" customWidth="1"/>
    <col min="5" max="5" width="42" customWidth="1"/>
    <col min="6" max="6" width="62" customWidth="1"/>
  </cols>
  <sheetData>
    <row r="1" spans="1:6" ht="17.399999999999999" x14ac:dyDescent="0.3">
      <c r="A1" s="2" t="s">
        <v>191</v>
      </c>
    </row>
    <row r="2" spans="1:6" x14ac:dyDescent="0.3">
      <c r="A2" s="3" t="s">
        <v>192</v>
      </c>
    </row>
    <row r="4" spans="1:6" ht="27.75" customHeight="1" x14ac:dyDescent="0.3">
      <c r="A4" s="4" t="s">
        <v>193</v>
      </c>
      <c r="B4" s="4" t="s">
        <v>194</v>
      </c>
      <c r="C4" s="4" t="s">
        <v>7</v>
      </c>
      <c r="D4" s="4" t="s">
        <v>8</v>
      </c>
      <c r="E4" s="4" t="s">
        <v>195</v>
      </c>
      <c r="F4" s="4" t="s">
        <v>196</v>
      </c>
    </row>
    <row r="5" spans="1:6" x14ac:dyDescent="0.3">
      <c r="A5" s="5" t="s">
        <v>197</v>
      </c>
      <c r="B5" s="7" t="s">
        <v>198</v>
      </c>
      <c r="C5" s="8" t="s">
        <v>199</v>
      </c>
      <c r="D5" s="9" t="s">
        <v>58</v>
      </c>
      <c r="E5" s="12" t="s">
        <v>200</v>
      </c>
      <c r="F5" s="12" t="s">
        <v>201</v>
      </c>
    </row>
    <row r="6" spans="1:6" x14ac:dyDescent="0.3">
      <c r="A6" s="5" t="s">
        <v>202</v>
      </c>
      <c r="B6" s="7" t="s">
        <v>203</v>
      </c>
      <c r="C6" s="8" t="s">
        <v>69</v>
      </c>
      <c r="D6" s="9" t="s">
        <v>58</v>
      </c>
      <c r="E6" s="12" t="s">
        <v>204</v>
      </c>
      <c r="F6" s="12" t="s">
        <v>205</v>
      </c>
    </row>
    <row r="7" spans="1:6" ht="26.4" x14ac:dyDescent="0.3">
      <c r="A7" s="5" t="s">
        <v>206</v>
      </c>
      <c r="B7" s="7" t="s">
        <v>207</v>
      </c>
      <c r="C7" s="8" t="s">
        <v>208</v>
      </c>
      <c r="D7" s="9" t="s">
        <v>209</v>
      </c>
      <c r="E7" s="12" t="s">
        <v>210</v>
      </c>
      <c r="F7" s="12" t="s">
        <v>211</v>
      </c>
    </row>
    <row r="8" spans="1:6" x14ac:dyDescent="0.3">
      <c r="A8" s="5" t="s">
        <v>212</v>
      </c>
      <c r="B8" s="7" t="s">
        <v>213</v>
      </c>
      <c r="C8" s="8" t="s">
        <v>214</v>
      </c>
      <c r="D8" s="9" t="s">
        <v>215</v>
      </c>
      <c r="E8" s="12" t="s">
        <v>216</v>
      </c>
      <c r="F8" s="12" t="s">
        <v>217</v>
      </c>
    </row>
    <row r="9" spans="1:6" ht="26.4" x14ac:dyDescent="0.3">
      <c r="A9" s="5" t="s">
        <v>218</v>
      </c>
      <c r="B9" s="7" t="s">
        <v>219</v>
      </c>
      <c r="C9" s="8" t="s">
        <v>220</v>
      </c>
      <c r="D9" s="9" t="s">
        <v>116</v>
      </c>
      <c r="E9" s="12" t="s">
        <v>221</v>
      </c>
      <c r="F9" s="12" t="s">
        <v>222</v>
      </c>
    </row>
    <row r="10" spans="1:6" x14ac:dyDescent="0.3">
      <c r="A10" s="5" t="s">
        <v>223</v>
      </c>
      <c r="B10" s="7" t="s">
        <v>224</v>
      </c>
      <c r="C10" s="8" t="s">
        <v>225</v>
      </c>
      <c r="D10" s="9" t="s">
        <v>58</v>
      </c>
      <c r="E10" s="12" t="s">
        <v>116</v>
      </c>
      <c r="F10" s="12" t="s">
        <v>226</v>
      </c>
    </row>
    <row r="11" spans="1:6" ht="26.4" x14ac:dyDescent="0.3">
      <c r="A11" s="5" t="s">
        <v>227</v>
      </c>
      <c r="B11" s="7" t="s">
        <v>228</v>
      </c>
      <c r="C11" s="8" t="s">
        <v>229</v>
      </c>
      <c r="D11" s="9" t="s">
        <v>209</v>
      </c>
      <c r="E11" s="12" t="s">
        <v>230</v>
      </c>
      <c r="F11" s="12" t="s">
        <v>231</v>
      </c>
    </row>
    <row r="12" spans="1:6" x14ac:dyDescent="0.3">
      <c r="A12" s="5" t="s">
        <v>232</v>
      </c>
      <c r="B12" s="7" t="s">
        <v>233</v>
      </c>
      <c r="C12" s="8" t="s">
        <v>234</v>
      </c>
      <c r="D12" s="9" t="s">
        <v>209</v>
      </c>
      <c r="E12" s="12" t="s">
        <v>235</v>
      </c>
      <c r="F12" s="12" t="s">
        <v>236</v>
      </c>
    </row>
    <row r="13" spans="1:6" ht="26.4" x14ac:dyDescent="0.3">
      <c r="A13" s="5" t="s">
        <v>237</v>
      </c>
      <c r="B13" s="7" t="s">
        <v>238</v>
      </c>
      <c r="C13" s="8" t="s">
        <v>239</v>
      </c>
      <c r="D13" s="9" t="s">
        <v>137</v>
      </c>
      <c r="E13" s="12" t="s">
        <v>240</v>
      </c>
      <c r="F13" s="12" t="s">
        <v>241</v>
      </c>
    </row>
    <row r="14" spans="1:6" x14ac:dyDescent="0.3">
      <c r="A14" s="5" t="s">
        <v>242</v>
      </c>
      <c r="B14" s="7" t="s">
        <v>243</v>
      </c>
      <c r="C14" s="8" t="s">
        <v>244</v>
      </c>
      <c r="D14" s="9" t="s">
        <v>245</v>
      </c>
      <c r="E14" s="12" t="s">
        <v>246</v>
      </c>
      <c r="F14" s="12" t="s">
        <v>247</v>
      </c>
    </row>
    <row r="15" spans="1:6" x14ac:dyDescent="0.3">
      <c r="A15" s="5" t="s">
        <v>248</v>
      </c>
      <c r="B15" s="7" t="s">
        <v>134</v>
      </c>
      <c r="C15" s="8" t="s">
        <v>136</v>
      </c>
      <c r="D15" s="9" t="s">
        <v>137</v>
      </c>
      <c r="E15" s="12" t="s">
        <v>249</v>
      </c>
      <c r="F15" s="12" t="s">
        <v>250</v>
      </c>
    </row>
    <row r="16" spans="1:6" x14ac:dyDescent="0.3">
      <c r="A16" s="5" t="s">
        <v>251</v>
      </c>
      <c r="B16" s="7" t="s">
        <v>252</v>
      </c>
      <c r="C16" s="8" t="s">
        <v>253</v>
      </c>
      <c r="D16" s="9" t="s">
        <v>143</v>
      </c>
      <c r="E16" s="12" t="s">
        <v>254</v>
      </c>
      <c r="F16" s="12" t="s">
        <v>255</v>
      </c>
    </row>
    <row r="17" spans="1:6" x14ac:dyDescent="0.3">
      <c r="A17" s="5" t="s">
        <v>256</v>
      </c>
      <c r="B17" s="7" t="s">
        <v>257</v>
      </c>
      <c r="C17" s="8" t="s">
        <v>258</v>
      </c>
      <c r="D17" s="9" t="s">
        <v>58</v>
      </c>
      <c r="E17" s="12" t="s">
        <v>259</v>
      </c>
      <c r="F17" s="12" t="s">
        <v>260</v>
      </c>
    </row>
    <row r="18" spans="1:6" x14ac:dyDescent="0.3">
      <c r="A18" s="5" t="s">
        <v>261</v>
      </c>
      <c r="B18" s="7" t="s">
        <v>262</v>
      </c>
      <c r="C18" s="8" t="s">
        <v>263</v>
      </c>
      <c r="D18" s="9" t="s">
        <v>58</v>
      </c>
      <c r="E18" s="12" t="s">
        <v>264</v>
      </c>
      <c r="F18" s="12" t="s">
        <v>265</v>
      </c>
    </row>
    <row r="19" spans="1:6" ht="26.4" x14ac:dyDescent="0.3">
      <c r="A19" s="5" t="s">
        <v>266</v>
      </c>
      <c r="B19" s="7" t="s">
        <v>267</v>
      </c>
      <c r="C19" s="8" t="s">
        <v>268</v>
      </c>
      <c r="D19" s="9" t="s">
        <v>36</v>
      </c>
      <c r="E19" s="12" t="s">
        <v>269</v>
      </c>
      <c r="F19" s="12" t="s">
        <v>270</v>
      </c>
    </row>
    <row r="20" spans="1:6" x14ac:dyDescent="0.3">
      <c r="A20" s="5" t="s">
        <v>271</v>
      </c>
      <c r="B20" s="7" t="s">
        <v>272</v>
      </c>
      <c r="C20" s="8" t="s">
        <v>273</v>
      </c>
      <c r="D20" s="9" t="s">
        <v>209</v>
      </c>
      <c r="E20" s="12" t="s">
        <v>274</v>
      </c>
      <c r="F20" s="12" t="s">
        <v>275</v>
      </c>
    </row>
    <row r="21" spans="1:6" x14ac:dyDescent="0.3">
      <c r="A21" s="5" t="s">
        <v>276</v>
      </c>
      <c r="B21" s="7" t="s">
        <v>277</v>
      </c>
      <c r="C21" s="8" t="s">
        <v>278</v>
      </c>
      <c r="D21" s="9" t="s">
        <v>279</v>
      </c>
      <c r="E21" s="12" t="s">
        <v>280</v>
      </c>
      <c r="F21" s="12" t="s">
        <v>281</v>
      </c>
    </row>
    <row r="22" spans="1:6" ht="26.4" x14ac:dyDescent="0.3">
      <c r="A22" s="5" t="s">
        <v>282</v>
      </c>
      <c r="B22" s="7" t="s">
        <v>283</v>
      </c>
      <c r="C22" s="8" t="s">
        <v>284</v>
      </c>
      <c r="D22" s="9" t="s">
        <v>116</v>
      </c>
      <c r="E22" s="26" t="s">
        <v>285</v>
      </c>
      <c r="F22" s="12" t="s">
        <v>286</v>
      </c>
    </row>
    <row r="23" spans="1:6" x14ac:dyDescent="0.3">
      <c r="A23" s="5" t="s">
        <v>287</v>
      </c>
      <c r="B23" s="7" t="s">
        <v>288</v>
      </c>
      <c r="C23" s="8" t="s">
        <v>289</v>
      </c>
      <c r="D23" s="9" t="s">
        <v>137</v>
      </c>
      <c r="E23" s="12" t="s">
        <v>116</v>
      </c>
      <c r="F23" s="12" t="s">
        <v>290</v>
      </c>
    </row>
    <row r="24" spans="1:6" x14ac:dyDescent="0.3">
      <c r="A24" s="5" t="s">
        <v>291</v>
      </c>
      <c r="B24" s="7" t="s">
        <v>292</v>
      </c>
      <c r="C24" s="8" t="s">
        <v>293</v>
      </c>
      <c r="D24" s="9" t="s">
        <v>137</v>
      </c>
      <c r="E24" s="12" t="s">
        <v>116</v>
      </c>
      <c r="F24" s="12" t="s">
        <v>294</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zoomScale="55" zoomScaleNormal="55" workbookViewId="0"/>
  </sheetViews>
  <sheetFormatPr defaultColWidth="8.6640625" defaultRowHeight="14.4" x14ac:dyDescent="0.3"/>
  <cols>
    <col min="1" max="1" width="22" customWidth="1"/>
    <col min="2" max="2" width="10" customWidth="1"/>
    <col min="3" max="3" width="12" customWidth="1"/>
    <col min="4" max="4" width="26" customWidth="1"/>
    <col min="5" max="5" width="70" customWidth="1"/>
  </cols>
  <sheetData>
    <row r="1" spans="1:5" ht="17.399999999999999" x14ac:dyDescent="0.3">
      <c r="A1" s="2" t="s">
        <v>295</v>
      </c>
    </row>
    <row r="3" spans="1:5" x14ac:dyDescent="0.3">
      <c r="A3" s="21" t="s">
        <v>296</v>
      </c>
    </row>
    <row r="4" spans="1:5" x14ac:dyDescent="0.3">
      <c r="A4" s="27" t="s">
        <v>194</v>
      </c>
      <c r="B4" s="27" t="s">
        <v>297</v>
      </c>
      <c r="C4" s="27" t="s">
        <v>298</v>
      </c>
      <c r="D4" s="27" t="s">
        <v>299</v>
      </c>
    </row>
    <row r="5" spans="1:5" ht="92.4" x14ac:dyDescent="0.3">
      <c r="A5" s="9">
        <v>0</v>
      </c>
      <c r="B5" s="9" t="s">
        <v>300</v>
      </c>
      <c r="C5" s="12" t="s">
        <v>301</v>
      </c>
      <c r="D5" s="28">
        <v>88</v>
      </c>
    </row>
    <row r="6" spans="1:5" ht="52.8" x14ac:dyDescent="0.3">
      <c r="A6" s="9">
        <v>1</v>
      </c>
      <c r="B6" s="9" t="s">
        <v>302</v>
      </c>
      <c r="C6" s="12" t="s">
        <v>303</v>
      </c>
      <c r="D6" s="28">
        <v>12</v>
      </c>
    </row>
    <row r="7" spans="1:5" ht="79.2" x14ac:dyDescent="0.3">
      <c r="A7" s="9">
        <v>2</v>
      </c>
      <c r="B7" s="9" t="s">
        <v>23</v>
      </c>
      <c r="C7" s="12" t="s">
        <v>304</v>
      </c>
      <c r="D7" s="28">
        <v>10539</v>
      </c>
    </row>
    <row r="8" spans="1:5" ht="66" x14ac:dyDescent="0.3">
      <c r="A8" s="9">
        <v>3</v>
      </c>
      <c r="B8" s="9" t="s">
        <v>305</v>
      </c>
      <c r="C8" s="12" t="s">
        <v>306</v>
      </c>
      <c r="D8" s="28">
        <v>9</v>
      </c>
    </row>
    <row r="11" spans="1:5" x14ac:dyDescent="0.3">
      <c r="A11" s="21" t="s">
        <v>307</v>
      </c>
    </row>
    <row r="12" spans="1:5" x14ac:dyDescent="0.3">
      <c r="A12" s="1" t="s">
        <v>308</v>
      </c>
      <c r="B12" s="1"/>
      <c r="C12" s="1"/>
      <c r="D12" s="1"/>
      <c r="E12" s="1"/>
    </row>
    <row r="13" spans="1:5" x14ac:dyDescent="0.3">
      <c r="A13" s="27" t="s">
        <v>309</v>
      </c>
      <c r="B13" s="27" t="s">
        <v>310</v>
      </c>
      <c r="C13" s="27" t="s">
        <v>194</v>
      </c>
      <c r="D13" s="27" t="s">
        <v>311</v>
      </c>
      <c r="E13" s="27" t="s">
        <v>312</v>
      </c>
    </row>
    <row r="14" spans="1:5" ht="26.4" x14ac:dyDescent="0.3">
      <c r="A14" s="9" t="s">
        <v>313</v>
      </c>
      <c r="B14" s="9">
        <v>1</v>
      </c>
      <c r="C14" s="8">
        <v>2</v>
      </c>
      <c r="D14" s="9" t="s">
        <v>314</v>
      </c>
      <c r="E14" s="12" t="s">
        <v>315</v>
      </c>
    </row>
    <row r="15" spans="1:5" x14ac:dyDescent="0.3">
      <c r="A15" s="9" t="s">
        <v>313</v>
      </c>
      <c r="B15" s="9">
        <v>3</v>
      </c>
      <c r="C15" s="8">
        <v>8</v>
      </c>
      <c r="D15" s="9" t="s">
        <v>316</v>
      </c>
      <c r="E15" s="12" t="s">
        <v>317</v>
      </c>
    </row>
    <row r="16" spans="1:5" ht="26.4" x14ac:dyDescent="0.3">
      <c r="A16" s="9" t="s">
        <v>318</v>
      </c>
      <c r="B16" s="9">
        <v>7</v>
      </c>
      <c r="C16" s="8">
        <v>128</v>
      </c>
      <c r="D16" s="9" t="s">
        <v>316</v>
      </c>
      <c r="E16" s="12" t="s">
        <v>319</v>
      </c>
    </row>
    <row r="19" spans="1:3" x14ac:dyDescent="0.3">
      <c r="A19" s="21" t="s">
        <v>320</v>
      </c>
    </row>
    <row r="20" spans="1:3" x14ac:dyDescent="0.3">
      <c r="A20" s="29" t="s">
        <v>321</v>
      </c>
    </row>
    <row r="21" spans="1:3" x14ac:dyDescent="0.3">
      <c r="A21" s="3" t="s">
        <v>322</v>
      </c>
    </row>
    <row r="23" spans="1:3" x14ac:dyDescent="0.3">
      <c r="A23" s="21" t="s">
        <v>323</v>
      </c>
    </row>
    <row r="24" spans="1:3" x14ac:dyDescent="0.3">
      <c r="A24" s="27" t="s">
        <v>309</v>
      </c>
      <c r="B24" s="27" t="s">
        <v>194</v>
      </c>
      <c r="C24" s="27" t="s">
        <v>324</v>
      </c>
    </row>
    <row r="25" spans="1:3" x14ac:dyDescent="0.3">
      <c r="A25" s="30" t="s">
        <v>325</v>
      </c>
      <c r="B25" s="30" t="s">
        <v>127</v>
      </c>
      <c r="C25" s="30" t="s">
        <v>326</v>
      </c>
    </row>
    <row r="26" spans="1:3" x14ac:dyDescent="0.3">
      <c r="A26" s="30" t="s">
        <v>327</v>
      </c>
      <c r="B26" s="30" t="s">
        <v>127</v>
      </c>
      <c r="C26" s="30" t="s">
        <v>328</v>
      </c>
    </row>
    <row r="27" spans="1:3" x14ac:dyDescent="0.3">
      <c r="A27" s="30" t="s">
        <v>329</v>
      </c>
      <c r="B27" s="30" t="s">
        <v>127</v>
      </c>
      <c r="C27" s="30" t="s">
        <v>181</v>
      </c>
    </row>
    <row r="28" spans="1:3" x14ac:dyDescent="0.3">
      <c r="A28" s="30" t="s">
        <v>330</v>
      </c>
      <c r="B28" s="30" t="s">
        <v>331</v>
      </c>
      <c r="C28" s="30" t="s">
        <v>181</v>
      </c>
    </row>
    <row r="29" spans="1:3" x14ac:dyDescent="0.3">
      <c r="A29" s="30" t="s">
        <v>332</v>
      </c>
      <c r="B29" s="30" t="s">
        <v>333</v>
      </c>
      <c r="C29" s="30" t="s">
        <v>334</v>
      </c>
    </row>
  </sheetData>
  <mergeCells count="1">
    <mergeCell ref="A12:E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zoomScale="70" zoomScaleNormal="70" workbookViewId="0"/>
  </sheetViews>
  <sheetFormatPr defaultColWidth="8.6640625" defaultRowHeight="14.4" x14ac:dyDescent="0.3"/>
  <cols>
    <col min="1" max="1" width="5" customWidth="1"/>
    <col min="2" max="2" width="46" customWidth="1"/>
    <col min="3" max="3" width="92" customWidth="1"/>
  </cols>
  <sheetData>
    <row r="1" spans="1:3" ht="17.399999999999999" x14ac:dyDescent="0.3">
      <c r="A1" s="2" t="s">
        <v>335</v>
      </c>
    </row>
    <row r="2" spans="1:3" x14ac:dyDescent="0.3">
      <c r="A2" s="3" t="s">
        <v>336</v>
      </c>
    </row>
    <row r="4" spans="1:3" x14ac:dyDescent="0.3">
      <c r="A4" s="31" t="s">
        <v>337</v>
      </c>
      <c r="B4" s="31" t="s">
        <v>338</v>
      </c>
      <c r="C4" s="31" t="s">
        <v>339</v>
      </c>
    </row>
    <row r="5" spans="1:3" ht="61.5" customHeight="1" x14ac:dyDescent="0.3">
      <c r="A5" s="5" t="s">
        <v>331</v>
      </c>
      <c r="B5" s="32" t="s">
        <v>340</v>
      </c>
      <c r="C5" s="12" t="s">
        <v>341</v>
      </c>
    </row>
    <row r="6" spans="1:3" ht="61.5" customHeight="1" x14ac:dyDescent="0.3">
      <c r="A6" s="5" t="s">
        <v>342</v>
      </c>
      <c r="B6" s="32" t="s">
        <v>343</v>
      </c>
      <c r="C6" s="12" t="s">
        <v>344</v>
      </c>
    </row>
    <row r="7" spans="1:3" ht="61.5" customHeight="1" x14ac:dyDescent="0.3">
      <c r="A7" s="5" t="s">
        <v>345</v>
      </c>
      <c r="B7" s="32" t="s">
        <v>346</v>
      </c>
      <c r="C7" s="12" t="s">
        <v>347</v>
      </c>
    </row>
    <row r="8" spans="1:3" ht="61.5" customHeight="1" x14ac:dyDescent="0.3">
      <c r="A8" s="5" t="s">
        <v>348</v>
      </c>
      <c r="B8" s="32" t="s">
        <v>349</v>
      </c>
      <c r="C8" s="12" t="s">
        <v>350</v>
      </c>
    </row>
    <row r="9" spans="1:3" ht="61.5" customHeight="1" x14ac:dyDescent="0.3">
      <c r="A9" s="5" t="s">
        <v>351</v>
      </c>
      <c r="B9" s="32" t="s">
        <v>352</v>
      </c>
      <c r="C9" s="12" t="s">
        <v>353</v>
      </c>
    </row>
    <row r="10" spans="1:3" ht="61.5" customHeight="1" x14ac:dyDescent="0.3">
      <c r="A10" s="5" t="s">
        <v>354</v>
      </c>
      <c r="B10" s="32" t="s">
        <v>355</v>
      </c>
      <c r="C10" s="12" t="s">
        <v>356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zoomScaleNormal="100" workbookViewId="0"/>
  </sheetViews>
  <sheetFormatPr defaultColWidth="8.6640625" defaultRowHeight="14.4" x14ac:dyDescent="0.3"/>
  <cols>
    <col min="1" max="1" width="14" customWidth="1"/>
    <col min="2" max="3" width="15" customWidth="1"/>
    <col min="4" max="5" width="17" customWidth="1"/>
    <col min="6" max="6" width="18" customWidth="1"/>
    <col min="7" max="7" width="15" customWidth="1"/>
    <col min="8" max="8" width="13" customWidth="1"/>
  </cols>
  <sheetData>
    <row r="1" spans="1:8" ht="17.399999999999999" x14ac:dyDescent="0.3">
      <c r="A1" s="2" t="s">
        <v>357</v>
      </c>
    </row>
    <row r="2" spans="1:8" x14ac:dyDescent="0.3">
      <c r="A2" s="3" t="s">
        <v>358</v>
      </c>
    </row>
    <row r="4" spans="1:8" ht="30" customHeight="1" x14ac:dyDescent="0.3">
      <c r="A4" s="4" t="s">
        <v>359</v>
      </c>
      <c r="B4" s="4" t="s">
        <v>360</v>
      </c>
      <c r="C4" s="4" t="s">
        <v>361</v>
      </c>
      <c r="D4" s="4" t="s">
        <v>362</v>
      </c>
      <c r="E4" s="4" t="s">
        <v>363</v>
      </c>
      <c r="F4" s="4" t="s">
        <v>364</v>
      </c>
      <c r="G4" s="4" t="s">
        <v>365</v>
      </c>
      <c r="H4" s="4" t="s">
        <v>366</v>
      </c>
    </row>
    <row r="5" spans="1:8" x14ac:dyDescent="0.3">
      <c r="A5" s="30" t="s">
        <v>367</v>
      </c>
      <c r="B5" s="33">
        <v>13.09</v>
      </c>
      <c r="C5" s="33">
        <v>13.75</v>
      </c>
      <c r="D5" s="34">
        <v>13.09</v>
      </c>
      <c r="E5" s="34">
        <v>13.75</v>
      </c>
      <c r="F5" s="35">
        <v>50</v>
      </c>
      <c r="G5" s="35">
        <v>59310</v>
      </c>
      <c r="H5" s="35">
        <v>10402</v>
      </c>
    </row>
    <row r="6" spans="1:8" x14ac:dyDescent="0.3">
      <c r="A6" s="30" t="s">
        <v>368</v>
      </c>
      <c r="B6" s="33">
        <v>17.510000000000002</v>
      </c>
      <c r="C6" s="33">
        <v>18.100000000000001</v>
      </c>
      <c r="D6" s="34">
        <v>17.510000000000002</v>
      </c>
      <c r="E6" s="34">
        <v>18.100000000000001</v>
      </c>
      <c r="F6" s="35">
        <v>52</v>
      </c>
      <c r="G6" s="35">
        <v>81341</v>
      </c>
      <c r="H6" s="35">
        <v>13546</v>
      </c>
    </row>
    <row r="7" spans="1:8" x14ac:dyDescent="0.3">
      <c r="A7" s="30" t="s">
        <v>369</v>
      </c>
      <c r="B7" s="33">
        <v>27.14</v>
      </c>
      <c r="C7" s="33">
        <v>27.99</v>
      </c>
      <c r="D7" s="34">
        <v>27.14</v>
      </c>
      <c r="E7" s="34">
        <v>27.99</v>
      </c>
      <c r="F7" s="35">
        <v>70</v>
      </c>
      <c r="G7" s="35">
        <v>74954</v>
      </c>
      <c r="H7" s="35">
        <v>13367</v>
      </c>
    </row>
    <row r="8" spans="1:8" x14ac:dyDescent="0.3">
      <c r="A8" s="36" t="s">
        <v>370</v>
      </c>
      <c r="B8" s="37">
        <f>SUM(B5:B7)</f>
        <v>57.74</v>
      </c>
      <c r="G8" s="38">
        <f>SUM(G5:G7)</f>
        <v>215605</v>
      </c>
    </row>
    <row r="10" spans="1:8" x14ac:dyDescent="0.3">
      <c r="A10" s="21" t="s">
        <v>371</v>
      </c>
    </row>
    <row r="11" spans="1:8" x14ac:dyDescent="0.3">
      <c r="A11" s="23" t="s">
        <v>372</v>
      </c>
    </row>
    <row r="12" spans="1:8" x14ac:dyDescent="0.3">
      <c r="A12" s="3" t="s">
        <v>373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Register Map</vt:lpstr>
      <vt:lpstr>Derived Values</vt:lpstr>
      <vt:lpstr>Enums &amp; Flags</vt:lpstr>
      <vt:lpstr>Decoding Rules</vt:lpstr>
      <vt:lpstr>Fleet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Tejaswini Kompalli</cp:lastModifiedBy>
  <cp:revision>0</cp:revision>
  <dcterms:created xsi:type="dcterms:W3CDTF">2026-08-02T11:56:58Z</dcterms:created>
  <dcterms:modified xsi:type="dcterms:W3CDTF">2026-08-02T12:17:59Z</dcterms:modified>
  <dc:language>en-US</dc:language>
</cp:coreProperties>
</file>